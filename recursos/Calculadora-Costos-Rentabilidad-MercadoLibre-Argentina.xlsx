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arámetros" sheetId="1" state="visible" r:id="rId3"/>
    <sheet name="Calculadora" sheetId="2" state="visible" r:id="rId4"/>
    <sheet name="Resumen" sheetId="3" state="visible" r:id="rId5"/>
    <sheet name="Notas y Fuentes" sheetId="4" state="visible" r:id="rId6"/>
  </sheets>
  <definedNames>
    <definedName function="false" hidden="false" name="AlmacenFull" vbProcedure="false">Parámetros!$C$56</definedName>
    <definedName function="false" hidden="false" name="CargoCuotas" vbProcedure="false">Parámetros!$C$47:$C$50</definedName>
    <definedName function="false" hidden="false" name="CatList" vbProcedure="false">Parámetros!$B$6:$B$15</definedName>
    <definedName function="false" hidden="false" name="ComisionClasica" vbProcedure="false">Parámetros!$C$6:$C$15</definedName>
    <definedName function="false" hidden="false" name="ComisionPremium" vbProcedure="false">Parámetros!$D$6:$D$15</definedName>
    <definedName function="false" hidden="false" name="CondicionFiscal" vbProcedure="false">Parámetros!$C$57</definedName>
    <definedName function="false" hidden="false" name="CostoEnvioPeso" vbProcedure="false">Parámetros!$C$31:$C$35</definedName>
    <definedName function="false" hidden="false" name="CostoFijoTramo" vbProcedure="false">Parámetros!$C$24:$C$26</definedName>
    <definedName function="false" hidden="false" name="CuotasList" vbProcedure="false">Parámetros!$B$47:$B$50</definedName>
    <definedName function="false" hidden="false" name="DescuentoFull" vbProcedure="false">Parámetros!$C$40:$C$42</definedName>
    <definedName function="false" hidden="false" name="IIBBParam" vbProcedure="false">Parámetros!$C$55</definedName>
    <definedName function="false" hidden="false" name="IVAParam" vbProcedure="false">Parámetros!$C$54</definedName>
    <definedName function="false" hidden="false" name="ReputacionList" vbProcedure="false">Parámetros!$B$40:$B$42</definedName>
    <definedName function="false" hidden="false" name="TramoPesoDesde" vbProcedure="false">Parámetros!$B$31:$B$35</definedName>
    <definedName function="false" hidden="false" name="TramoPrecioDesde" vbProcedure="false">Parámetros!$B$24:$B$26</definedName>
    <definedName function="false" hidden="false" name="UmbralEnvioGratis" vbProcedure="false">Parámetros!$C$19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<sst xmlns="http://schemas.openxmlformats.org/spreadsheetml/2006/main" count="139" uniqueCount="126">
  <si>
    <t xml:space="preserve">PARÁMETROS — Mercado Libre Argentina (editable)</t>
  </si>
  <si>
    <t xml:space="preserve">Modificá los valores en azul cuando Mercado Libre actualice sus tarifas. Todas las fórmulas de la hoja "Calculadora" recalculan solas. Ver hoja "Notas y Fuentes" para el detalle de cada supuesto.</t>
  </si>
  <si>
    <t xml:space="preserve">1. COMISIÓN POR CATEGORÍA (% sobre precio de venta)</t>
  </si>
  <si>
    <t xml:space="preserve">Categoría</t>
  </si>
  <si>
    <t xml:space="preserve">Comisión Clásica</t>
  </si>
  <si>
    <t xml:space="preserve">Comisión Premium</t>
  </si>
  <si>
    <t xml:space="preserve">Supermercado</t>
  </si>
  <si>
    <t xml:space="preserve">Electrónica, Audio y Video</t>
  </si>
  <si>
    <t xml:space="preserve">Computación</t>
  </si>
  <si>
    <t xml:space="preserve">Celulares y Telefonía</t>
  </si>
  <si>
    <t xml:space="preserve">Accesorios para Vehículos</t>
  </si>
  <si>
    <t xml:space="preserve">Hogar, Muebles y Jardín</t>
  </si>
  <si>
    <t xml:space="preserve">Deportes y Fitness</t>
  </si>
  <si>
    <t xml:space="preserve">Ropa y Calzado</t>
  </si>
  <si>
    <t xml:space="preserve">Herramientas</t>
  </si>
  <si>
    <t xml:space="preserve">Otras categorías (default)</t>
  </si>
  <si>
    <t xml:space="preserve">Fuente: relevamiento de comisiones ML Argentina 2026 (DigitalSellers, SpomBridge, WooSync, Base). Los % exactos varían por sub-categoría y provincia — verificá el % real al publicar tu producto en tu cuenta de ML.</t>
  </si>
  <si>
    <t xml:space="preserve">2. UMBRAL DE ENVÍO GRATIS OBLIGATORIO</t>
  </si>
  <si>
    <t xml:space="preserve">Envío gratis obligatorio desde ($)</t>
  </si>
  <si>
    <t xml:space="preserve">Por debajo de este precio, el vendedor puede elegir si ofrece envío gratis o no. Por encima, Mercado Libre lo exige.</t>
  </si>
  <si>
    <t xml:space="preserve">3. COSTO FIJO POR UNIDAD VENDIDA — productos &lt; umbral despachados por Mercado Envíos</t>
  </si>
  <si>
    <t xml:space="preserve">Desde precio ($) ≥</t>
  </si>
  <si>
    <t xml:space="preserve">Costo fijo ($)</t>
  </si>
  <si>
    <t xml:space="preserve">Tramos: hasta $15.000 → $1.100 · $15.000–$25.000 → $2.250 · $25.000–$33.000 → $2.700 (valores orientativos, 2do semestre 2025 / 2026). IMPORTANTE: este cargo lo pagás por cada unidad vendida despachada por Mercado Envíos (Full, correo, colecta, puntos de despacho) AUNQUE el envío lo pague el comprador. No aplica a retiro en persona. Desde el 12/03/2026 también depende del peso y las dimensiones — confirmá el valor exacto en tu panel de vendedor (Mercado Envíos &gt; Costos).</t>
  </si>
  <si>
    <t xml:space="preserve">4. COSTO DE ENVÍO POR PESO — Full o productos desde el umbral (envío gratis obligatorio)</t>
  </si>
  <si>
    <t xml:space="preserve">Desde peso (kg) ≥</t>
  </si>
  <si>
    <t xml:space="preserve">Costo de envío ($)</t>
  </si>
  <si>
    <t xml:space="preserve">Mercado Libre NO publica esta tabla de forma oficial (depende de peso real vs. volumétrico, distancia y transportista). Son valores estimados de mercado — ajustalos con lo que veas reflejado en tus liquidaciones/facturación real de Mercado Envíos.</t>
  </si>
  <si>
    <t xml:space="preserve">5. DESCUENTO EN ENVÍO POR USAR FULL (según reputación)</t>
  </si>
  <si>
    <t xml:space="preserve">Reputación</t>
  </si>
  <si>
    <t xml:space="preserve">Descuento sobre costo de envío</t>
  </si>
  <si>
    <t xml:space="preserve">MercadoLíder / Reputación verde</t>
  </si>
  <si>
    <t xml:space="preserve">Reputación amarilla / Sin reputación</t>
  </si>
  <si>
    <t xml:space="preserve">Reputación roja / Otras</t>
  </si>
  <si>
    <t xml:space="preserve">Bonificación de Mercado Libre para vendedores que despachan con Mercado Envíos Full, según su nivel de reputación.</t>
  </si>
  <si>
    <t xml:space="preserve">6. CARGO POR CUOTAS SIN INTERÉS OFRECIDAS</t>
  </si>
  <si>
    <t xml:space="preserve">Cuotas ofrecidas</t>
  </si>
  <si>
    <t xml:space="preserve">Cargo (% sobre precio)</t>
  </si>
  <si>
    <t xml:space="preserve">3 y 6 cuotas confirmados por relevamiento 2026. El valor de 12 cuotas es una ESTIMACIÓN (no confirmada) — reemplazalo por el % real que veas al publicar.</t>
  </si>
  <si>
    <t xml:space="preserve">7. OTROS PARÁMETROS GENERALES</t>
  </si>
  <si>
    <t xml:space="preserve">IVA sobre comisión + costo fijo/envío + cargo cuotas</t>
  </si>
  <si>
    <t xml:space="preserve">% Percepción IIBB (informativo, default ARBA)</t>
  </si>
  <si>
    <t xml:space="preserve">Costo almacenamiento Full por unidad / mes (estimado)</t>
  </si>
  <si>
    <t xml:space="preserve">Condición fiscal del vendedor</t>
  </si>
  <si>
    <t xml:space="preserve">Monotributo</t>
  </si>
  <si>
    <t xml:space="preserve">IIBB: es una percepción/anticipo de impuesto (ARCA/rentas provinciales), NO un costo real — se descuenta de tu liquidación pero se recupera como crédito fiscal. Se muestra en la Calculadora solo a modo informativo (columna T) y NO se resta en Margen ni Rentabilidad. Almacenamiento Full: costo diario real depende del tamaño del producto y no es público — este es un promedio mensual estimado, ajustalo con tus liquidaciones. Condición fiscal: si sos Responsable Inscripto, el IVA que te descuenta Mercado Libre sobre sus comisiones es un crédito fiscal recuperable (no es un costo real) y la planilla lo suma de vuelta en la Ganancia/Rentabilidad; el Ingreso neto recibido sigue mostrando la plata que efectivamente cobrás ese mes. Si sos Monotributista o Exento, ese IVA no se recupera y se trata como costo real. Escribí exactamente "Responsable Inscripto" para activar la recuperación.</t>
  </si>
  <si>
    <t xml:space="preserve">CALCULADORA DE COSTOS, MARGEN Y RENTABILIDAD — MERCADO LIBRE ARGENTINA</t>
  </si>
  <si>
    <t xml:space="preserve">Completá una fila por publicación/venta. Cubre las 4 combinaciones: Full con envío gratis, Mercado Envíos sin Full con envío gratis, envío a cargo del comprador (sin envío gratis), precio por debajo y por encima de los $33.000 (umbral de envío gratis obligatorio). Los valores de tarifas se editan en la hoja "Parámetros".</t>
  </si>
  <si>
    <t xml:space="preserve">Filas 6-9 (fondo naranja) = 4 ejemplos resueltos, no las borres. Filas 10 en adelante = tus productos. Azul = dato que completás vos · Negro = fórmula, no tocar · Verde/rojo en Margen y Rentabilidad = referencia visual. La Ganancia usa la "Condición fiscal" de Parámetros: si sos Responsable Inscripto, el IVA de las comisiones ML se suma de vuelta (es crédito fiscal recuperable, no costo real).</t>
  </si>
  <si>
    <t xml:space="preserve">SKU / Producto</t>
  </si>
  <si>
    <t xml:space="preserve">Tipo publicación</t>
  </si>
  <si>
    <t xml:space="preserve">Precio de venta ($)</t>
  </si>
  <si>
    <t xml:space="preserve">Costo del producto ($)</t>
  </si>
  <si>
    <t xml:space="preserve">Otros costos directos ($)</t>
  </si>
  <si>
    <t xml:space="preserve">Peso (kg)</t>
  </si>
  <si>
    <t xml:space="preserve">Modalidad de envío</t>
  </si>
  <si>
    <t xml:space="preserve">¿Envío gratis?</t>
  </si>
  <si>
    <t xml:space="preserve">Reputación (si es Full)</t>
  </si>
  <si>
    <t xml:space="preserve">Cuotas sin interés</t>
  </si>
  <si>
    <t xml:space="preserve">% Comisión</t>
  </si>
  <si>
    <t xml:space="preserve">Comisión ($)</t>
  </si>
  <si>
    <t xml:space="preserve">Costo fijo / envío ($)</t>
  </si>
  <si>
    <t xml:space="preserve">Cargo cuotas ($)</t>
  </si>
  <si>
    <t xml:space="preserve">Subtotal costos ML (sin IVA)</t>
  </si>
  <si>
    <t xml:space="preserve">IVA s/ costos ML</t>
  </si>
  <si>
    <t xml:space="preserve">Almacenamiento Full ($)</t>
  </si>
  <si>
    <t xml:space="preserve">Total costos ML ($)</t>
  </si>
  <si>
    <t xml:space="preserve">Percepción IIBB (informativo)</t>
  </si>
  <si>
    <t xml:space="preserve">Ingreso neto recibido ($)</t>
  </si>
  <si>
    <t xml:space="preserve">Ganancia ($)</t>
  </si>
  <si>
    <t xml:space="preserve">Margen s/ precio (%)</t>
  </si>
  <si>
    <t xml:space="preserve">Rentabilidad s/ costo (%)</t>
  </si>
  <si>
    <t xml:space="preserve">EJEMPLO 1 — Zapatillas urbanas (Full, envío gratis, ≥ $33.000)</t>
  </si>
  <si>
    <t xml:space="preserve">Clásica</t>
  </si>
  <si>
    <t xml:space="preserve">Full</t>
  </si>
  <si>
    <t xml:space="preserve">Sí</t>
  </si>
  <si>
    <t xml:space="preserve">EJEMPLO 2 — Auricular Bluetooth (Full, envío gratis, &lt; $33.000)</t>
  </si>
  <si>
    <t xml:space="preserve">EJEMPLO 3 — Repuesto para auto (sin Full, con envío gratis, &lt; $33.000)</t>
  </si>
  <si>
    <t xml:space="preserve">Mercado Envíos (sin Full)</t>
  </si>
  <si>
    <t xml:space="preserve">EJEMPLO 4 — Producto económico (retiro en persona, sin Mercado Envíos, &lt; $33.000)</t>
  </si>
  <si>
    <t xml:space="preserve">Retiro en punto/sucursal (sin envío)</t>
  </si>
  <si>
    <t xml:space="preserve">No</t>
  </si>
  <si>
    <t xml:space="preserve">RESUMEN — TUS PRODUCTOS EN MERCADO LIBRE</t>
  </si>
  <si>
    <t xml:space="preserve">Se calcula solo con las filas de la hoja "Calculadora" que tengan categoría cargada (ejemplos + tus productos). Se actualiza solo al agregar filas.</t>
  </si>
  <si>
    <t xml:space="preserve">Productos cargados</t>
  </si>
  <si>
    <t xml:space="preserve">Precio de venta promedio</t>
  </si>
  <si>
    <t xml:space="preserve">Ganancia total ($)</t>
  </si>
  <si>
    <t xml:space="preserve">Margen promedio (s/ precio)</t>
  </si>
  <si>
    <t xml:space="preserve">Rentabilidad promedio (s/ costo)</t>
  </si>
  <si>
    <t xml:space="preserve">Productos con rentabilidad negativa</t>
  </si>
  <si>
    <t xml:space="preserve">PRODUCTO MÁS Y MENOS RENTABLE</t>
  </si>
  <si>
    <t xml:space="preserve">Más rentable</t>
  </si>
  <si>
    <t xml:space="preserve">Menos rentable</t>
  </si>
  <si>
    <t xml:space="preserve">Si hay productos empatados en rentabilidad, la fórmula muestra el primero que encuentra en la lista.</t>
  </si>
  <si>
    <t xml:space="preserve">NOTAS, SUPUESTOS Y FUENTES</t>
  </si>
  <si>
    <t xml:space="preserve">Cómo está armado este archivo</t>
  </si>
  <si>
    <t xml:space="preserve">• Hoja "Parámetros": todas las tarifas de Mercado Libre editables en un solo lugar (comisión por categoría, costo fijo por tramo de precio, costo de envío por peso, descuento Full, cargo por cuotas, IVA, IIBB, almacenamiento Full).</t>
  </si>
  <si>
    <t xml:space="preserve">• Hoja "Calculadora": una fila por publicación/venta. Filas 6-9 son 4 ejemplos resueltos que cubren los 4 escenarios pedidos: venta Full con envío gratis, venta sin Full con envío gratis, venta con envío a cargo del comprador, y precios por encima/por debajo de $33.000. Desde la fila 10 podés cargar tus propios productos.</t>
  </si>
  <si>
    <t xml:space="preserve">• Hoja "Resumen": KPIs agregados de todos los productos cargados en la Calculadora — cantidad, precio/margen/rentabilidad promedio, ganancia total, alerta de productos con rentabilidad negativa, y cuál es tu producto más y menos rentable.</t>
  </si>
  <si>
    <t xml:space="preserve">• Margen = Ganancia / Precio de venta. Rentabilidad = Ganancia / (Costo del producto + otros costos directos). Son dos métricas distintas a propósito: el margen te dice qué % del precio te queda, la rentabilidad te dice cuánto ganás en relación a lo que invertiste.</t>
  </si>
  <si>
    <t xml:space="preserve">Supuestos importantes (revisar antes de tomar decisiones de precio)</t>
  </si>
  <si>
    <t xml:space="preserve">1. Los % de comisión por categoría varían según sub-categoría, provincia y tipo de publicación. Los valores de la hoja Parámetros son un promedio de mercado 2026 — Mercado Libre te muestra el % exacto cuando publicás el producto; usá ese valor real.</t>
  </si>
  <si>
    <t xml:space="preserve">2. El costo fijo por unidad vendida (productos &lt; $33.000) se paga por cada venta despachada por Mercado Envíos (Full, correo, colecta, puntos de despacho) AUNQUE el envío lo pague el comprador — solo se evita con retiro en persona. Desde el 12/03/2026 depende también del peso y las dimensiones, no solo del precio. Esta planilla simplifica usando 3 tramos de precio — ajustalos si tus productos son muy pesados/voluminosos para su rango de precio. Si además ofrecés envío gratis por debajo del umbral, el costo de envío (tramo por peso) se suma al costo fijo.</t>
  </si>
  <si>
    <t xml:space="preserve">3. La tabla de costo de envío por peso (Full / precio ≥ $33.000) NO es información pública de Mercado Libre — son valores estimados de mercado. Reemplazalos por los valores reales que veas en tus liquidaciones (Mercado Envíos &gt; Costos, o tu resumen de cuenta).</t>
  </si>
  <si>
    <t xml:space="preserve">4. El costo de almacenamiento Full es un promedio mensual estimado por unidad. El costo real es diario y depende del tamaño/volumen del producto — ajustalo con tu panel de Fulfillment (vendedores.mercadolibre.com.ar).</t>
  </si>
  <si>
    <t xml:space="preserve">5. La percepción de IIBB (informativo, columna T de la Calculadora) es un anticipo de impuesto, no un costo definitivo: se recupera como crédito fiscal en tu DDJJ de Ingresos Brutos. Por eso no se resta en Margen ni en Rentabilidad. Si sos Monotributista, normalmente no te retienen IIBB — en ese caso poné 0% en Parámetros!C55.</t>
  </si>
  <si>
    <t xml:space="preserve">6. Condición fiscal (Parámetros!C57): el IVA que Mercado Libre descuenta sobre su comisión + costo fijo/envío + cargo por cuotas SÍ sale de tu liquidación (columna Ingreso neto recibido), pero si sos Responsable Inscripto lo recuperás como crédito fiscal en tu propia DDJJ de IVA — por eso la Ganancia, el Margen y la Rentabilidad lo suman de vuelta. Si sos Monotributista o Exento, ese IVA no se recupera y queda como costo real en Ganancia/Margen/Rentabilidad. Escribí exactamente "Responsable Inscripto" en Parámetros!C57 para activar la recuperación.</t>
  </si>
  <si>
    <t xml:space="preserve">7. El cargo de 12 cuotas sin interés (Parámetros, fila 50) es una estimación no confirmada por fuentes públicas — reemplazalo por el valor real que te muestre Mercado Libre al activar cuotas.</t>
  </si>
  <si>
    <t xml:space="preserve">Fuentes consultadas (julio 2026)</t>
  </si>
  <si>
    <t xml:space="preserve">Costos de ofrecer envío gratis — Ayuda oficial Mercado Libre</t>
  </si>
  <si>
    <t xml:space="preserve">Costo por unidad vendida (Full, correo, colecta, puntos de despacho) — Ayuda oficial Mercado Libre</t>
  </si>
  <si>
    <t xml:space="preserve">Costos por vender — Mercado Libre Developers</t>
  </si>
  <si>
    <t xml:space="preserve">Cómo revisar tus costos diarios por almacenar stock en Full — Mercado Libre Vendedores</t>
  </si>
  <si>
    <t xml:space="preserve">Vender con Full — Mercado Envíos</t>
  </si>
  <si>
    <t xml:space="preserve">Comisiones MercadoLibre 2026: Tabla por Categoría — SpomBridge</t>
  </si>
  <si>
    <t xml:space="preserve">Comisiones de Mercado Libre 2026: tabla por categoría y país — Jaguar Sheet</t>
  </si>
  <si>
    <t xml:space="preserve">Comisiones Mercado Libre 2026: Tabla por Categoría — DigitalSellers</t>
  </si>
  <si>
    <t xml:space="preserve">¿Cuánto cobra Mercado Libre Argentina por vender? — WooSync</t>
  </si>
  <si>
    <t xml:space="preserve">¿Cuánto cuesta vender en Mercado Libre en Argentina? — Base</t>
  </si>
  <si>
    <t xml:space="preserve">Cambios de costos, tarifas y envíos en Mercado Libre Argentina 2025 — Academia Nubimetrics</t>
  </si>
  <si>
    <t xml:space="preserve">Cuánto cobra realmente Mercado Libre en 2026 (comisiones + IVA) — MargenKit</t>
  </si>
  <si>
    <t xml:space="preserve">Mercado Libre desde el 12 de marzo: nuevos costos y rentabilidad real — Enretail</t>
  </si>
  <si>
    <t xml:space="preserve">Cuotas sin interés en Mercado Libre: cuántas vale la pena ofrecer — Base</t>
  </si>
  <si>
    <t xml:space="preserve">Impuestos en Mercado Libre 2026: Guía Definitiva — Contablix</t>
  </si>
  <si>
    <t xml:space="preserve">Retenciones y Percepciones en E-commerce Argentina 2026 — Contablix</t>
  </si>
  <si>
    <t xml:space="preserve">Estos son artículos de terceros (agencias/consultoras de e-commerce) y páginas de ayuda oficiales de Mercado Libre, relevados en julio de 2026. Mercado Libre actualiza tarifas con frecuencia (la última suba de comisiones fue en marzo de 2026) — antes de fijar precios, comprobá los valores vigentes en tu cuenta de vendedor.</t>
  </si>
</sst>
</file>

<file path=xl/styles.xml><?xml version="1.0" encoding="utf-8"?>
<styleSheet xmlns="http://schemas.openxmlformats.org/spreadsheetml/2006/main">
  <numFmts count="8">
    <numFmt numFmtId="164" formatCode="General"/>
    <numFmt numFmtId="165" formatCode="0.00%"/>
    <numFmt numFmtId="166" formatCode="\$#,##0"/>
    <numFmt numFmtId="167" formatCode="\$#,##0.00"/>
    <numFmt numFmtId="168" formatCode="0.00"/>
    <numFmt numFmtId="169" formatCode="0%"/>
    <numFmt numFmtId="170" formatCode="0.0%"/>
    <numFmt numFmtId="171" formatCode="0"/>
  </numFmts>
  <fonts count="18">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9"/>
      <color rgb="FF666666"/>
      <name val="Arial"/>
      <family val="0"/>
      <charset val="1"/>
    </font>
    <font>
      <b val="true"/>
      <sz val="11"/>
      <color rgb="FFFFFFFF"/>
      <name val="Arial"/>
      <family val="0"/>
      <charset val="1"/>
    </font>
    <font>
      <b val="true"/>
      <sz val="11"/>
      <name val="Arial"/>
      <family val="0"/>
      <charset val="1"/>
    </font>
    <font>
      <sz val="11"/>
      <color rgb="FF0000FF"/>
      <name val="Arial"/>
      <family val="0"/>
      <charset val="1"/>
    </font>
    <font>
      <sz val="11"/>
      <color rgb="FF000000"/>
      <name val="Arial"/>
      <family val="0"/>
      <charset val="1"/>
    </font>
    <font>
      <b val="true"/>
      <sz val="11"/>
      <color rgb="FF0000FF"/>
      <name val="Arial"/>
      <family val="0"/>
      <charset val="1"/>
    </font>
    <font>
      <i val="true"/>
      <sz val="9"/>
      <color rgb="FFC55A11"/>
      <name val="Arial"/>
      <family val="0"/>
      <charset val="1"/>
    </font>
    <font>
      <i val="true"/>
      <sz val="11"/>
      <color rgb="FF000000"/>
      <name val="Arial"/>
      <family val="0"/>
      <charset val="1"/>
    </font>
    <font>
      <sz val="11"/>
      <color rgb="FF333333"/>
      <name val="Arial"/>
      <family val="0"/>
      <charset val="1"/>
    </font>
    <font>
      <b val="true"/>
      <sz val="20"/>
      <color rgb="FF203864"/>
      <name val="Arial"/>
      <family val="0"/>
      <charset val="1"/>
    </font>
    <font>
      <b val="true"/>
      <sz val="20"/>
      <color rgb="FFC00000"/>
      <name val="Arial"/>
      <family val="0"/>
      <charset val="1"/>
    </font>
    <font>
      <sz val="10"/>
      <color rgb="FF000000"/>
      <name val="Arial"/>
      <family val="0"/>
      <charset val="1"/>
    </font>
    <font>
      <u val="single"/>
      <sz val="10"/>
      <color rgb="FF0563C1"/>
      <name val="Arial"/>
      <family val="0"/>
      <charset val="1"/>
    </font>
  </fonts>
  <fills count="8">
    <fill>
      <patternFill patternType="none"/>
    </fill>
    <fill>
      <patternFill patternType="gray125"/>
    </fill>
    <fill>
      <patternFill patternType="solid">
        <fgColor rgb="FF203864"/>
        <bgColor rgb="FF333333"/>
      </patternFill>
    </fill>
    <fill>
      <patternFill patternType="solid">
        <fgColor rgb="FF2E75B6"/>
        <bgColor rgb="FF0563C1"/>
      </patternFill>
    </fill>
    <fill>
      <patternFill patternType="solid">
        <fgColor rgb="FFD9E1F2"/>
        <bgColor rgb="FFEEF2FA"/>
      </patternFill>
    </fill>
    <fill>
      <patternFill patternType="solid">
        <fgColor rgb="FFFFFF00"/>
        <bgColor rgb="FFFFFF00"/>
      </patternFill>
    </fill>
    <fill>
      <patternFill patternType="solid">
        <fgColor rgb="FFFCE4D6"/>
        <bgColor rgb="FFEEF2FA"/>
      </patternFill>
    </fill>
    <fill>
      <patternFill patternType="solid">
        <fgColor rgb="FFEEF2FA"/>
        <bgColor rgb="FFFFFFFF"/>
      </patternFill>
    </fill>
  </fills>
  <borders count="2">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3" borderId="0" xfId="0" applyFont="true" applyBorder="true" applyAlignment="true" applyProtection="false">
      <alignment horizontal="left" vertical="center" textRotation="0" wrapText="false" indent="1" shrinkToFit="false"/>
      <protection locked="true" hidden="false"/>
    </xf>
    <xf numFmtId="164" fontId="7" fillId="4" borderId="1"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6" fontId="10" fillId="5" borderId="1" xfId="0" applyFont="true" applyBorder="true" applyAlignment="false" applyProtection="false">
      <alignment horizontal="general" vertical="bottom" textRotation="0" wrapText="false" indent="0" shrinkToFit="false"/>
      <protection locked="true" hidden="false"/>
    </xf>
    <xf numFmtId="167" fontId="8" fillId="0" borderId="1" xfId="0" applyFont="true" applyBorder="true" applyAlignment="false" applyProtection="false">
      <alignment horizontal="general" vertical="bottom" textRotation="0" wrapText="false" indent="0" shrinkToFit="false"/>
      <protection locked="true" hidden="false"/>
    </xf>
    <xf numFmtId="166" fontId="8" fillId="0" borderId="1" xfId="0" applyFont="true" applyBorder="true" applyAlignment="false" applyProtection="false">
      <alignment horizontal="general" vertical="bottom" textRotation="0" wrapText="false" indent="0" shrinkToFit="false"/>
      <protection locked="true" hidden="false"/>
    </xf>
    <xf numFmtId="168" fontId="8" fillId="0" borderId="1" xfId="0" applyFont="true" applyBorder="true" applyAlignment="false" applyProtection="false">
      <alignment horizontal="general" vertical="bottom" textRotation="0" wrapText="false" indent="0" shrinkToFit="false"/>
      <protection locked="true" hidden="false"/>
    </xf>
    <xf numFmtId="169" fontId="8" fillId="0" borderId="1" xfId="0" applyFont="true" applyBorder="true" applyAlignment="false" applyProtection="false">
      <alignment horizontal="general" vertical="bottom" textRotation="0" wrapText="false" indent="0" shrinkToFit="false"/>
      <protection locked="true" hidden="false"/>
    </xf>
    <xf numFmtId="169" fontId="10" fillId="5" borderId="1" xfId="0" applyFont="true" applyBorder="true" applyAlignment="false" applyProtection="false">
      <alignment horizontal="general" vertical="bottom" textRotation="0" wrapText="false" indent="0" shrinkToFit="false"/>
      <protection locked="true" hidden="false"/>
    </xf>
    <xf numFmtId="164" fontId="10" fillId="5" borderId="1" xfId="0" applyFont="true" applyBorder="tru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12" fillId="6" borderId="1" xfId="0" applyFont="true" applyBorder="true" applyAlignment="false" applyProtection="false">
      <alignment horizontal="general" vertical="bottom" textRotation="0" wrapText="false" indent="0" shrinkToFit="false"/>
      <protection locked="true" hidden="false"/>
    </xf>
    <xf numFmtId="164" fontId="8" fillId="6" borderId="1" xfId="0" applyFont="true" applyBorder="true" applyAlignment="false" applyProtection="false">
      <alignment horizontal="general" vertical="bottom" textRotation="0" wrapText="false" indent="0" shrinkToFit="false"/>
      <protection locked="true" hidden="false"/>
    </xf>
    <xf numFmtId="166" fontId="8" fillId="6" borderId="1" xfId="0" applyFont="true" applyBorder="true" applyAlignment="false" applyProtection="false">
      <alignment horizontal="general" vertical="bottom" textRotation="0" wrapText="false" indent="0" shrinkToFit="false"/>
      <protection locked="true" hidden="false"/>
    </xf>
    <xf numFmtId="168" fontId="8" fillId="6" borderId="1" xfId="0" applyFont="true" applyBorder="true" applyAlignment="false" applyProtection="false">
      <alignment horizontal="general" vertical="bottom" textRotation="0" wrapText="false" indent="0" shrinkToFit="false"/>
      <protection locked="true" hidden="false"/>
    </xf>
    <xf numFmtId="165" fontId="0" fillId="6" borderId="1" xfId="0" applyFont="false" applyBorder="true" applyAlignment="false" applyProtection="false">
      <alignment horizontal="general" vertical="bottom" textRotation="0" wrapText="false" indent="0" shrinkToFit="false"/>
      <protection locked="true" hidden="false"/>
    </xf>
    <xf numFmtId="166" fontId="0" fillId="6" borderId="1" xfId="0" applyFont="false" applyBorder="true" applyAlignment="false" applyProtection="false">
      <alignment horizontal="general" vertical="bottom" textRotation="0" wrapText="false" indent="0" shrinkToFit="false"/>
      <protection locked="true" hidden="false"/>
    </xf>
    <xf numFmtId="170" fontId="0" fillId="6" borderId="1" xfId="0" applyFont="false" applyBorder="true" applyAlignment="false" applyProtection="false">
      <alignment horizontal="general" vertical="bottom" textRotation="0" wrapText="false" indent="0" shrinkToFit="false"/>
      <protection locked="true" hidden="false"/>
    </xf>
    <xf numFmtId="165" fontId="9" fillId="0" borderId="1" xfId="0" applyFont="true" applyBorder="true" applyAlignment="false" applyProtection="false">
      <alignment horizontal="general" vertical="bottom" textRotation="0" wrapText="false" indent="0" shrinkToFit="false"/>
      <protection locked="true" hidden="false"/>
    </xf>
    <xf numFmtId="166" fontId="9" fillId="0" borderId="1" xfId="0" applyFont="true" applyBorder="true" applyAlignment="false" applyProtection="false">
      <alignment horizontal="general" vertical="bottom" textRotation="0" wrapText="false" indent="0" shrinkToFit="false"/>
      <protection locked="true" hidden="false"/>
    </xf>
    <xf numFmtId="170" fontId="9" fillId="0" borderId="1" xfId="0" applyFont="true" applyBorder="true" applyAlignment="false" applyProtection="false">
      <alignment horizontal="general" vertical="bottom" textRotation="0" wrapText="false" indent="0" shrinkToFit="false"/>
      <protection locked="true" hidden="false"/>
    </xf>
    <xf numFmtId="164" fontId="13" fillId="7" borderId="1" xfId="0" applyFont="true" applyBorder="true" applyAlignment="true" applyProtection="false">
      <alignment horizontal="general" vertical="center" textRotation="0" wrapText="true" indent="0" shrinkToFit="false"/>
      <protection locked="true" hidden="false"/>
    </xf>
    <xf numFmtId="171" fontId="14" fillId="7" borderId="1" xfId="0" applyFont="true" applyBorder="true" applyAlignment="true" applyProtection="false">
      <alignment horizontal="center" vertical="center" textRotation="0" wrapText="false" indent="0" shrinkToFit="false"/>
      <protection locked="true" hidden="false"/>
    </xf>
    <xf numFmtId="166" fontId="14" fillId="7" borderId="1" xfId="0" applyFont="true" applyBorder="true" applyAlignment="true" applyProtection="false">
      <alignment horizontal="center" vertical="center" textRotation="0" wrapText="false" indent="0" shrinkToFit="false"/>
      <protection locked="true" hidden="false"/>
    </xf>
    <xf numFmtId="170" fontId="14" fillId="7" borderId="1" xfId="0" applyFont="true" applyBorder="true" applyAlignment="true" applyProtection="false">
      <alignment horizontal="center" vertical="center" textRotation="0" wrapText="false" indent="0" shrinkToFit="false"/>
      <protection locked="true" hidden="false"/>
    </xf>
    <xf numFmtId="171" fontId="15" fillId="7"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70" fontId="0" fillId="0" borderId="1" xfId="0" applyFont="false" applyBorder="tru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center"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top" textRotation="0" wrapText="tru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EEF2FA"/>
      <rgbColor rgb="FFCCFFFF"/>
      <rgbColor rgb="FF660066"/>
      <rgbColor rgb="FFFF8080"/>
      <rgbColor rgb="FF0563C1"/>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D6"/>
      <rgbColor rgb="FF2E75B6"/>
      <rgbColor rgb="FF33CCCC"/>
      <rgbColor rgb="FF99CC00"/>
      <rgbColor rgb="FFFFCC00"/>
      <rgbColor rgb="FFFF9900"/>
      <rgbColor rgb="FFC55A11"/>
      <rgbColor rgb="FF666666"/>
      <rgbColor rgb="FF969696"/>
      <rgbColor rgb="FF20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hyperlink" Target="https://www.mercadolibre.com.ar/ayuda/costos-envios-gratis_3482" TargetMode="External"/><Relationship Id="rId2" Type="http://schemas.openxmlformats.org/officeDocument/2006/relationships/hyperlink" Target="https://www.mercadolibre.com.ar/ayuda/cambios-costos-venta_42400" TargetMode="External"/><Relationship Id="rId3" Type="http://schemas.openxmlformats.org/officeDocument/2006/relationships/hyperlink" Target="https://developers.mercadolibre.com.ar/comision-por-vender" TargetMode="External"/><Relationship Id="rId4" Type="http://schemas.openxmlformats.org/officeDocument/2006/relationships/hyperlink" Target="https://vendedores.mercadolibre.com.ar/nota/como-revisar-tus-costos-diarios-por-almacenar-stock-en-full" TargetMode="External"/><Relationship Id="rId5" Type="http://schemas.openxmlformats.org/officeDocument/2006/relationships/hyperlink" Target="https://envios.mercadolibre.com.ar/mercado-envios-full" TargetMode="External"/><Relationship Id="rId6" Type="http://schemas.openxmlformats.org/officeDocument/2006/relationships/hyperlink" Target="https://app.spomsolutions.com/blog/comisiones-mercadolibre-guia-2026" TargetMode="External"/><Relationship Id="rId7" Type="http://schemas.openxmlformats.org/officeDocument/2006/relationships/hyperlink" Target="https://jaguarsheet.com/es/blog/comisiones-mercado-libre" TargetMode="External"/><Relationship Id="rId8" Type="http://schemas.openxmlformats.org/officeDocument/2006/relationships/hyperlink" Target="https://digitalsellers.com.ar/blog/comisiones-mercado-libre/" TargetMode="External"/><Relationship Id="rId9" Type="http://schemas.openxmlformats.org/officeDocument/2006/relationships/hyperlink" Target="https://mail.woosync.io/blog/cuanto-cobra-mercado-libre-argentina-por-vender-precios-actualizados/" TargetMode="External"/><Relationship Id="rId10" Type="http://schemas.openxmlformats.org/officeDocument/2006/relationships/hyperlink" Target="https://base.com/es-AR/blog/costos-ventas-mercado-libre-argentina/" TargetMode="External"/><Relationship Id="rId11" Type="http://schemas.openxmlformats.org/officeDocument/2006/relationships/hyperlink" Target="https://academia.nubimetrics.com/cambios-mercado-libre-argentina" TargetMode="External"/><Relationship Id="rId12" Type="http://schemas.openxmlformats.org/officeDocument/2006/relationships/hyperlink" Target="https://margenkit.nektool.com/blog/comisiones-mercado-libre-2026" TargetMode="External"/><Relationship Id="rId13" Type="http://schemas.openxmlformats.org/officeDocument/2006/relationships/hyperlink" Target="https://www.enretail.com/2026/03/11/mercado-libre-desde-el-12-de-marzo-nuevos-costos-canal-mayorista-y-rentabilidad-real/" TargetMode="External"/><Relationship Id="rId14" Type="http://schemas.openxmlformats.org/officeDocument/2006/relationships/hyperlink" Target="https://base.com/es-AR/blog/cuotas-sin-interes-mercado-libre/" TargetMode="External"/><Relationship Id="rId15" Type="http://schemas.openxmlformats.org/officeDocument/2006/relationships/hyperlink" Target="https://contablix.ar/blog/impuestos-mercado-libre-2026-guia-definitiva" TargetMode="External"/><Relationship Id="rId16" Type="http://schemas.openxmlformats.org/officeDocument/2006/relationships/hyperlink" Target="https://contablix.ar/blog/retenciones-percepciones-ecommerce-argentina-2026"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34"/>
    <col collapsed="false" customWidth="true" hidden="false" outlineLevel="0" max="5" min="3" style="0" width="16"/>
    <col collapsed="false" customWidth="true" hidden="false" outlineLevel="0" max="6" min="6" style="0" width="60"/>
  </cols>
  <sheetData>
    <row r="1" customFormat="false" ht="25.5" hidden="false" customHeight="true" outlineLevel="0" collapsed="false">
      <c r="A1" s="1" t="s">
        <v>0</v>
      </c>
      <c r="B1" s="1"/>
      <c r="C1" s="1"/>
      <c r="D1" s="1"/>
      <c r="E1" s="1"/>
      <c r="F1" s="1"/>
    </row>
    <row r="2" customFormat="false" ht="27.75" hidden="false" customHeight="true" outlineLevel="0" collapsed="false">
      <c r="A2" s="2" t="s">
        <v>1</v>
      </c>
      <c r="B2" s="2"/>
      <c r="C2" s="2"/>
      <c r="D2" s="2"/>
      <c r="E2" s="2"/>
      <c r="F2" s="2"/>
    </row>
    <row r="4" customFormat="false" ht="19.5" hidden="false" customHeight="true" outlineLevel="0" collapsed="false">
      <c r="A4" s="3" t="s">
        <v>2</v>
      </c>
      <c r="B4" s="3"/>
      <c r="C4" s="3"/>
      <c r="D4" s="3"/>
      <c r="E4" s="3"/>
      <c r="F4" s="3"/>
    </row>
    <row r="5" customFormat="false" ht="15" hidden="false" customHeight="false" outlineLevel="0" collapsed="false">
      <c r="B5" s="4" t="s">
        <v>3</v>
      </c>
      <c r="C5" s="4" t="s">
        <v>4</v>
      </c>
      <c r="D5" s="4" t="s">
        <v>5</v>
      </c>
    </row>
    <row r="6" customFormat="false" ht="15" hidden="false" customHeight="false" outlineLevel="0" collapsed="false">
      <c r="B6" s="5" t="s">
        <v>6</v>
      </c>
      <c r="C6" s="6" t="n">
        <v>0.118</v>
      </c>
      <c r="D6" s="6" t="n">
        <v>0.148</v>
      </c>
    </row>
    <row r="7" customFormat="false" ht="15" hidden="false" customHeight="false" outlineLevel="0" collapsed="false">
      <c r="B7" s="5" t="s">
        <v>7</v>
      </c>
      <c r="C7" s="6" t="n">
        <v>0.15</v>
      </c>
      <c r="D7" s="6" t="n">
        <v>0.1714</v>
      </c>
    </row>
    <row r="8" customFormat="false" ht="15" hidden="false" customHeight="false" outlineLevel="0" collapsed="false">
      <c r="B8" s="5" t="s">
        <v>8</v>
      </c>
      <c r="C8" s="6" t="n">
        <v>0.15</v>
      </c>
      <c r="D8" s="6" t="n">
        <v>0.1714</v>
      </c>
    </row>
    <row r="9" customFormat="false" ht="15" hidden="false" customHeight="false" outlineLevel="0" collapsed="false">
      <c r="B9" s="5" t="s">
        <v>9</v>
      </c>
      <c r="C9" s="6" t="n">
        <v>0.14</v>
      </c>
      <c r="D9" s="6" t="n">
        <v>0.165</v>
      </c>
    </row>
    <row r="10" customFormat="false" ht="15" hidden="false" customHeight="false" outlineLevel="0" collapsed="false">
      <c r="B10" s="5" t="s">
        <v>10</v>
      </c>
      <c r="C10" s="6" t="n">
        <v>0.13</v>
      </c>
      <c r="D10" s="6" t="n">
        <v>0.16</v>
      </c>
    </row>
    <row r="11" customFormat="false" ht="15" hidden="false" customHeight="false" outlineLevel="0" collapsed="false">
      <c r="B11" s="5" t="s">
        <v>11</v>
      </c>
      <c r="C11" s="6" t="n">
        <v>0.135</v>
      </c>
      <c r="D11" s="6" t="n">
        <v>0.16</v>
      </c>
    </row>
    <row r="12" customFormat="false" ht="15" hidden="false" customHeight="false" outlineLevel="0" collapsed="false">
      <c r="B12" s="5" t="s">
        <v>12</v>
      </c>
      <c r="C12" s="6" t="n">
        <v>0.135</v>
      </c>
      <c r="D12" s="6" t="n">
        <v>0.16</v>
      </c>
    </row>
    <row r="13" customFormat="false" ht="15" hidden="false" customHeight="false" outlineLevel="0" collapsed="false">
      <c r="B13" s="5" t="s">
        <v>13</v>
      </c>
      <c r="C13" s="6" t="n">
        <v>0.135</v>
      </c>
      <c r="D13" s="6" t="n">
        <v>0.16</v>
      </c>
    </row>
    <row r="14" customFormat="false" ht="15" hidden="false" customHeight="false" outlineLevel="0" collapsed="false">
      <c r="B14" s="5" t="s">
        <v>14</v>
      </c>
      <c r="C14" s="6" t="n">
        <v>0.135</v>
      </c>
      <c r="D14" s="6" t="n">
        <v>0.16</v>
      </c>
    </row>
    <row r="15" customFormat="false" ht="15" hidden="false" customHeight="false" outlineLevel="0" collapsed="false">
      <c r="B15" s="5" t="s">
        <v>15</v>
      </c>
      <c r="C15" s="6" t="n">
        <v>0.135</v>
      </c>
      <c r="D15" s="6" t="n">
        <v>0.165</v>
      </c>
    </row>
    <row r="16" customFormat="false" ht="15" hidden="false" customHeight="true" outlineLevel="0" collapsed="false">
      <c r="A16" s="2" t="s">
        <v>16</v>
      </c>
      <c r="B16" s="2"/>
      <c r="C16" s="2"/>
      <c r="D16" s="2"/>
      <c r="E16" s="2"/>
      <c r="F16" s="2"/>
    </row>
    <row r="18" customFormat="false" ht="19.5" hidden="false" customHeight="true" outlineLevel="0" collapsed="false">
      <c r="A18" s="3" t="s">
        <v>17</v>
      </c>
      <c r="B18" s="3"/>
      <c r="C18" s="3"/>
      <c r="D18" s="3"/>
      <c r="E18" s="3"/>
      <c r="F18" s="3"/>
    </row>
    <row r="19" customFormat="false" ht="15" hidden="false" customHeight="false" outlineLevel="0" collapsed="false">
      <c r="B19" s="7" t="s">
        <v>18</v>
      </c>
      <c r="C19" s="8" t="n">
        <v>33000</v>
      </c>
    </row>
    <row r="20" customFormat="false" ht="15" hidden="false" customHeight="true" outlineLevel="0" collapsed="false">
      <c r="A20" s="2" t="s">
        <v>19</v>
      </c>
      <c r="B20" s="2"/>
      <c r="C20" s="2"/>
      <c r="D20" s="2"/>
      <c r="E20" s="2"/>
      <c r="F20" s="2"/>
    </row>
    <row r="22" customFormat="false" ht="19.5" hidden="false" customHeight="true" outlineLevel="0" collapsed="false">
      <c r="A22" s="3" t="s">
        <v>20</v>
      </c>
      <c r="B22" s="3"/>
      <c r="C22" s="3"/>
      <c r="D22" s="3"/>
      <c r="E22" s="3"/>
      <c r="F22" s="3"/>
    </row>
    <row r="23" customFormat="false" ht="15" hidden="false" customHeight="false" outlineLevel="0" collapsed="false">
      <c r="B23" s="4" t="s">
        <v>21</v>
      </c>
      <c r="C23" s="4" t="s">
        <v>22</v>
      </c>
    </row>
    <row r="24" customFormat="false" ht="15" hidden="false" customHeight="false" outlineLevel="0" collapsed="false">
      <c r="B24" s="9" t="n">
        <v>0</v>
      </c>
      <c r="C24" s="10" t="n">
        <v>1100</v>
      </c>
    </row>
    <row r="25" customFormat="false" ht="15" hidden="false" customHeight="false" outlineLevel="0" collapsed="false">
      <c r="B25" s="9" t="n">
        <v>15000.01</v>
      </c>
      <c r="C25" s="10" t="n">
        <v>2250</v>
      </c>
    </row>
    <row r="26" customFormat="false" ht="15" hidden="false" customHeight="false" outlineLevel="0" collapsed="false">
      <c r="B26" s="9" t="n">
        <v>25000.01</v>
      </c>
      <c r="C26" s="10" t="n">
        <v>2700</v>
      </c>
    </row>
    <row r="27" customFormat="false" ht="32.8" hidden="false" customHeight="true" outlineLevel="0" collapsed="false">
      <c r="A27" s="2" t="s">
        <v>23</v>
      </c>
      <c r="B27" s="2"/>
      <c r="C27" s="2"/>
      <c r="D27" s="2"/>
      <c r="E27" s="2"/>
      <c r="F27" s="2"/>
    </row>
    <row r="29" customFormat="false" ht="19.5" hidden="false" customHeight="true" outlineLevel="0" collapsed="false">
      <c r="A29" s="3" t="s">
        <v>24</v>
      </c>
      <c r="B29" s="3"/>
      <c r="C29" s="3"/>
      <c r="D29" s="3"/>
      <c r="E29" s="3"/>
      <c r="F29" s="3"/>
    </row>
    <row r="30" customFormat="false" ht="15" hidden="false" customHeight="false" outlineLevel="0" collapsed="false">
      <c r="B30" s="4" t="s">
        <v>25</v>
      </c>
      <c r="C30" s="4" t="s">
        <v>26</v>
      </c>
    </row>
    <row r="31" customFormat="false" ht="15" hidden="false" customHeight="false" outlineLevel="0" collapsed="false">
      <c r="B31" s="11" t="n">
        <v>0</v>
      </c>
      <c r="C31" s="10" t="n">
        <v>2500</v>
      </c>
    </row>
    <row r="32" customFormat="false" ht="15" hidden="false" customHeight="false" outlineLevel="0" collapsed="false">
      <c r="B32" s="11" t="n">
        <v>1.01</v>
      </c>
      <c r="C32" s="10" t="n">
        <v>4500</v>
      </c>
    </row>
    <row r="33" customFormat="false" ht="15" hidden="false" customHeight="false" outlineLevel="0" collapsed="false">
      <c r="B33" s="11" t="n">
        <v>5.01</v>
      </c>
      <c r="C33" s="10" t="n">
        <v>7500</v>
      </c>
    </row>
    <row r="34" customFormat="false" ht="15" hidden="false" customHeight="false" outlineLevel="0" collapsed="false">
      <c r="B34" s="11" t="n">
        <v>10.01</v>
      </c>
      <c r="C34" s="10" t="n">
        <v>11000</v>
      </c>
    </row>
    <row r="35" customFormat="false" ht="15" hidden="false" customHeight="false" outlineLevel="0" collapsed="false">
      <c r="B35" s="11" t="n">
        <v>20.01</v>
      </c>
      <c r="C35" s="10" t="n">
        <v>15500</v>
      </c>
    </row>
    <row r="36" customFormat="false" ht="22.35" hidden="false" customHeight="true" outlineLevel="0" collapsed="false">
      <c r="A36" s="2" t="s">
        <v>27</v>
      </c>
      <c r="B36" s="2"/>
      <c r="C36" s="2"/>
      <c r="D36" s="2"/>
      <c r="E36" s="2"/>
      <c r="F36" s="2"/>
    </row>
    <row r="38" customFormat="false" ht="19.5" hidden="false" customHeight="true" outlineLevel="0" collapsed="false">
      <c r="A38" s="3" t="s">
        <v>28</v>
      </c>
      <c r="B38" s="3"/>
      <c r="C38" s="3"/>
      <c r="D38" s="3"/>
      <c r="E38" s="3"/>
      <c r="F38" s="3"/>
    </row>
    <row r="39" customFormat="false" ht="15" hidden="false" customHeight="false" outlineLevel="0" collapsed="false">
      <c r="B39" s="4" t="s">
        <v>29</v>
      </c>
      <c r="C39" s="4" t="s">
        <v>30</v>
      </c>
    </row>
    <row r="40" customFormat="false" ht="15" hidden="false" customHeight="false" outlineLevel="0" collapsed="false">
      <c r="B40" s="5" t="s">
        <v>31</v>
      </c>
      <c r="C40" s="12" t="n">
        <v>0.5</v>
      </c>
    </row>
    <row r="41" customFormat="false" ht="15" hidden="false" customHeight="false" outlineLevel="0" collapsed="false">
      <c r="B41" s="5" t="s">
        <v>32</v>
      </c>
      <c r="C41" s="12" t="n">
        <v>0.4</v>
      </c>
    </row>
    <row r="42" customFormat="false" ht="15" hidden="false" customHeight="false" outlineLevel="0" collapsed="false">
      <c r="B42" s="5" t="s">
        <v>33</v>
      </c>
      <c r="C42" s="12" t="n">
        <v>0</v>
      </c>
    </row>
    <row r="43" customFormat="false" ht="15" hidden="false" customHeight="true" outlineLevel="0" collapsed="false">
      <c r="A43" s="2" t="s">
        <v>34</v>
      </c>
      <c r="B43" s="2"/>
      <c r="C43" s="2"/>
      <c r="D43" s="2"/>
      <c r="E43" s="2"/>
      <c r="F43" s="2"/>
    </row>
    <row r="45" customFormat="false" ht="19.5" hidden="false" customHeight="true" outlineLevel="0" collapsed="false">
      <c r="A45" s="3" t="s">
        <v>35</v>
      </c>
      <c r="B45" s="3"/>
      <c r="C45" s="3"/>
      <c r="D45" s="3"/>
      <c r="E45" s="3"/>
      <c r="F45" s="3"/>
    </row>
    <row r="46" customFormat="false" ht="15" hidden="false" customHeight="false" outlineLevel="0" collapsed="false">
      <c r="B46" s="4" t="s">
        <v>36</v>
      </c>
      <c r="C46" s="4" t="s">
        <v>37</v>
      </c>
    </row>
    <row r="47" customFormat="false" ht="15" hidden="false" customHeight="false" outlineLevel="0" collapsed="false">
      <c r="B47" s="5" t="n">
        <v>0</v>
      </c>
      <c r="C47" s="6" t="n">
        <v>0</v>
      </c>
    </row>
    <row r="48" customFormat="false" ht="15" hidden="false" customHeight="false" outlineLevel="0" collapsed="false">
      <c r="B48" s="5" t="n">
        <v>3</v>
      </c>
      <c r="C48" s="6" t="n">
        <v>0.0575</v>
      </c>
    </row>
    <row r="49" customFormat="false" ht="15" hidden="false" customHeight="false" outlineLevel="0" collapsed="false">
      <c r="B49" s="5" t="n">
        <v>6</v>
      </c>
      <c r="C49" s="6" t="n">
        <v>0.1075</v>
      </c>
    </row>
    <row r="50" customFormat="false" ht="15" hidden="false" customHeight="false" outlineLevel="0" collapsed="false">
      <c r="B50" s="5" t="n">
        <v>12</v>
      </c>
      <c r="C50" s="6" t="n">
        <v>0.18</v>
      </c>
    </row>
    <row r="51" customFormat="false" ht="15" hidden="false" customHeight="true" outlineLevel="0" collapsed="false">
      <c r="A51" s="2" t="s">
        <v>38</v>
      </c>
      <c r="B51" s="2"/>
      <c r="C51" s="2"/>
      <c r="D51" s="2"/>
      <c r="E51" s="2"/>
      <c r="F51" s="2"/>
    </row>
    <row r="53" customFormat="false" ht="19.5" hidden="false" customHeight="true" outlineLevel="0" collapsed="false">
      <c r="A53" s="3" t="s">
        <v>39</v>
      </c>
      <c r="B53" s="3"/>
      <c r="C53" s="3"/>
      <c r="D53" s="3"/>
      <c r="E53" s="3"/>
      <c r="F53" s="3"/>
    </row>
    <row r="54" customFormat="false" ht="15" hidden="false" customHeight="false" outlineLevel="0" collapsed="false">
      <c r="B54" s="7" t="s">
        <v>40</v>
      </c>
      <c r="C54" s="13" t="n">
        <v>0.21</v>
      </c>
    </row>
    <row r="55" customFormat="false" ht="15" hidden="false" customHeight="false" outlineLevel="0" collapsed="false">
      <c r="B55" s="7" t="s">
        <v>41</v>
      </c>
      <c r="C55" s="6" t="n">
        <v>0.035</v>
      </c>
    </row>
    <row r="56" customFormat="false" ht="15" hidden="false" customHeight="false" outlineLevel="0" collapsed="false">
      <c r="B56" s="7" t="s">
        <v>42</v>
      </c>
      <c r="C56" s="10" t="n">
        <v>300</v>
      </c>
    </row>
    <row r="57" customFormat="false" ht="15" hidden="false" customHeight="false" outlineLevel="0" collapsed="false">
      <c r="B57" s="7" t="s">
        <v>43</v>
      </c>
      <c r="C57" s="14" t="s">
        <v>44</v>
      </c>
    </row>
    <row r="58" customFormat="false" ht="43.25" hidden="false" customHeight="true" outlineLevel="0" collapsed="false">
      <c r="A58" s="2" t="s">
        <v>45</v>
      </c>
      <c r="B58" s="2"/>
      <c r="C58" s="2"/>
      <c r="D58" s="2"/>
      <c r="E58" s="2"/>
      <c r="F58" s="2"/>
    </row>
  </sheetData>
  <mergeCells count="16">
    <mergeCell ref="A1:F1"/>
    <mergeCell ref="A2:F2"/>
    <mergeCell ref="A4:F4"/>
    <mergeCell ref="A16:F16"/>
    <mergeCell ref="A18:F18"/>
    <mergeCell ref="A20:F20"/>
    <mergeCell ref="A22:F22"/>
    <mergeCell ref="A27:F27"/>
    <mergeCell ref="A29:F29"/>
    <mergeCell ref="A36:F36"/>
    <mergeCell ref="A38:F38"/>
    <mergeCell ref="A43:F43"/>
    <mergeCell ref="A45:F45"/>
    <mergeCell ref="A51:F51"/>
    <mergeCell ref="A53:F53"/>
    <mergeCell ref="A58:F5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28"/>
    <col collapsed="false" customWidth="true" hidden="false" outlineLevel="0" max="2" min="2" style="0" width="26"/>
    <col collapsed="false" customWidth="true" hidden="false" outlineLevel="0" max="3" min="3" style="0" width="11"/>
    <col collapsed="false" customWidth="true" hidden="false" outlineLevel="0" max="6" min="4" style="0" width="12"/>
    <col collapsed="false" customWidth="true" hidden="false" outlineLevel="0" max="7" min="7" style="0" width="9"/>
    <col collapsed="false" customWidth="true" hidden="false" outlineLevel="0" max="8" min="8" style="0" width="24"/>
    <col collapsed="false" customWidth="true" hidden="false" outlineLevel="0" max="9" min="9" style="0" width="9"/>
    <col collapsed="false" customWidth="true" hidden="false" outlineLevel="0" max="10" min="10" style="0" width="26"/>
    <col collapsed="false" customWidth="true" hidden="false" outlineLevel="0" max="11" min="11" style="0" width="8"/>
    <col collapsed="false" customWidth="true" hidden="false" outlineLevel="0" max="12" min="12" style="0" width="10"/>
    <col collapsed="false" customWidth="true" hidden="false" outlineLevel="0" max="14" min="13" style="0" width="12"/>
    <col collapsed="false" customWidth="true" hidden="false" outlineLevel="0" max="15" min="15" style="0" width="11"/>
    <col collapsed="false" customWidth="true" hidden="false" outlineLevel="0" max="16" min="16" style="0" width="13"/>
    <col collapsed="false" customWidth="true" hidden="false" outlineLevel="0" max="18" min="17" style="0" width="11"/>
    <col collapsed="false" customWidth="true" hidden="false" outlineLevel="0" max="19" min="19" style="0" width="13"/>
    <col collapsed="false" customWidth="true" hidden="false" outlineLevel="0" max="20" min="20" style="0" width="11"/>
    <col collapsed="false" customWidth="true" hidden="false" outlineLevel="0" max="21" min="21" style="0" width="13"/>
    <col collapsed="false" customWidth="true" hidden="false" outlineLevel="0" max="22" min="22" style="0" width="12"/>
    <col collapsed="false" customWidth="true" hidden="false" outlineLevel="0" max="23" min="23" style="0" width="11"/>
    <col collapsed="false" customWidth="true" hidden="false" outlineLevel="0" max="24" min="24" style="0" width="12"/>
  </cols>
  <sheetData>
    <row r="1" customFormat="false" ht="24" hidden="false" customHeight="true" outlineLevel="0" collapsed="false">
      <c r="A1" s="15" t="s">
        <v>46</v>
      </c>
      <c r="B1" s="15"/>
      <c r="C1" s="15"/>
      <c r="D1" s="15"/>
      <c r="E1" s="15"/>
      <c r="F1" s="15"/>
      <c r="G1" s="15"/>
      <c r="H1" s="15"/>
      <c r="I1" s="15"/>
      <c r="J1" s="15"/>
      <c r="K1" s="15"/>
      <c r="L1" s="15"/>
      <c r="M1" s="15"/>
      <c r="N1" s="15"/>
      <c r="O1" s="15"/>
      <c r="P1" s="15"/>
      <c r="Q1" s="15"/>
      <c r="R1" s="15"/>
      <c r="S1" s="15"/>
      <c r="T1" s="15"/>
      <c r="U1" s="15"/>
      <c r="V1" s="15"/>
      <c r="W1" s="15"/>
      <c r="X1" s="15"/>
    </row>
    <row r="2" customFormat="false" ht="30" hidden="false" customHeight="true" outlineLevel="0" collapsed="false">
      <c r="A2" s="2" t="s">
        <v>47</v>
      </c>
      <c r="B2" s="2"/>
      <c r="C2" s="2"/>
      <c r="D2" s="2"/>
      <c r="E2" s="2"/>
      <c r="F2" s="2"/>
      <c r="G2" s="2"/>
      <c r="H2" s="2"/>
      <c r="I2" s="2"/>
      <c r="J2" s="2"/>
      <c r="K2" s="2"/>
      <c r="L2" s="2"/>
      <c r="M2" s="2"/>
      <c r="N2" s="2"/>
      <c r="O2" s="2"/>
      <c r="P2" s="2"/>
      <c r="Q2" s="2"/>
      <c r="R2" s="2"/>
      <c r="S2" s="2"/>
      <c r="T2" s="2"/>
      <c r="U2" s="2"/>
      <c r="V2" s="2"/>
      <c r="W2" s="2"/>
      <c r="X2" s="2"/>
    </row>
    <row r="3" customFormat="false" ht="25.5" hidden="false" customHeight="true" outlineLevel="0" collapsed="false">
      <c r="A3" s="16" t="s">
        <v>48</v>
      </c>
      <c r="B3" s="16"/>
      <c r="C3" s="16"/>
      <c r="D3" s="16"/>
      <c r="E3" s="16"/>
      <c r="F3" s="16"/>
      <c r="G3" s="16"/>
      <c r="H3" s="16"/>
      <c r="I3" s="16"/>
      <c r="J3" s="16"/>
      <c r="K3" s="16"/>
      <c r="L3" s="16"/>
      <c r="M3" s="16"/>
      <c r="N3" s="16"/>
      <c r="O3" s="16"/>
      <c r="P3" s="16"/>
      <c r="Q3" s="16"/>
      <c r="R3" s="16"/>
      <c r="S3" s="16"/>
      <c r="T3" s="16"/>
      <c r="U3" s="16"/>
      <c r="V3" s="16"/>
      <c r="W3" s="16"/>
      <c r="X3" s="16"/>
    </row>
    <row r="5" customFormat="false" ht="43.5" hidden="false" customHeight="true" outlineLevel="0" collapsed="false">
      <c r="A5" s="17" t="s">
        <v>49</v>
      </c>
      <c r="B5" s="17" t="s">
        <v>3</v>
      </c>
      <c r="C5" s="17" t="s">
        <v>50</v>
      </c>
      <c r="D5" s="17" t="s">
        <v>51</v>
      </c>
      <c r="E5" s="17" t="s">
        <v>52</v>
      </c>
      <c r="F5" s="17" t="s">
        <v>53</v>
      </c>
      <c r="G5" s="17" t="s">
        <v>54</v>
      </c>
      <c r="H5" s="17" t="s">
        <v>55</v>
      </c>
      <c r="I5" s="17" t="s">
        <v>56</v>
      </c>
      <c r="J5" s="17" t="s">
        <v>57</v>
      </c>
      <c r="K5" s="17" t="s">
        <v>58</v>
      </c>
      <c r="L5" s="17" t="s">
        <v>59</v>
      </c>
      <c r="M5" s="17" t="s">
        <v>60</v>
      </c>
      <c r="N5" s="17" t="s">
        <v>61</v>
      </c>
      <c r="O5" s="17" t="s">
        <v>62</v>
      </c>
      <c r="P5" s="17" t="s">
        <v>63</v>
      </c>
      <c r="Q5" s="17" t="s">
        <v>64</v>
      </c>
      <c r="R5" s="17" t="s">
        <v>65</v>
      </c>
      <c r="S5" s="17" t="s">
        <v>66</v>
      </c>
      <c r="T5" s="17" t="s">
        <v>67</v>
      </c>
      <c r="U5" s="17" t="s">
        <v>68</v>
      </c>
      <c r="V5" s="17" t="s">
        <v>69</v>
      </c>
      <c r="W5" s="17" t="s">
        <v>70</v>
      </c>
      <c r="X5" s="17" t="s">
        <v>71</v>
      </c>
    </row>
    <row r="6" customFormat="false" ht="15.75" hidden="false" customHeight="true" outlineLevel="0" collapsed="false">
      <c r="A6" s="18" t="s">
        <v>72</v>
      </c>
      <c r="B6" s="19" t="s">
        <v>13</v>
      </c>
      <c r="C6" s="19" t="s">
        <v>73</v>
      </c>
      <c r="D6" s="20" t="n">
        <v>45000</v>
      </c>
      <c r="E6" s="20" t="n">
        <v>22000</v>
      </c>
      <c r="F6" s="20" t="n">
        <v>500</v>
      </c>
      <c r="G6" s="21" t="n">
        <v>1.2</v>
      </c>
      <c r="H6" s="19" t="s">
        <v>74</v>
      </c>
      <c r="I6" s="19" t="s">
        <v>75</v>
      </c>
      <c r="J6" s="19" t="s">
        <v>31</v>
      </c>
      <c r="K6" s="19" t="n">
        <v>0</v>
      </c>
      <c r="L6" s="22" t="n">
        <f aca="false">IF($B6="","",IFERROR(IF($C6="Premium",INDEX(ComisionPremium,MATCH($B6,CatList,0)),INDEX(ComisionClasica,MATCH($B6,CatList,0))),0))</f>
        <v>0.135</v>
      </c>
      <c r="M6" s="23" t="n">
        <f aca="false">IF($B6="","",$D6*$L6)</f>
        <v>6075</v>
      </c>
      <c r="N6" s="23" t="n">
        <f aca="false">IF($B6="","",IFERROR(IF(AND($D6&lt;UmbralEnvioGratis,$H6&lt;&gt;"Retiro en punto/sucursal (sin envío)"),INDEX(CostoFijoTramo,MATCH($D6,TramoPrecioDesde,1)),0)+IF($I6="Sí",INDEX(CostoEnvioPeso,MATCH($G6,TramoPesoDesde,1))*IF($H6="Full",1-INDEX(DescuentoFull,MATCH($J6,ReputacionList,0)),1),0),0))</f>
        <v>2250</v>
      </c>
      <c r="O6" s="23" t="n">
        <f aca="false">IF($B6="","",IFERROR($D6*INDEX(CargoCuotas,MATCH($K6,CuotasList,0)),0))</f>
        <v>0</v>
      </c>
      <c r="P6" s="23" t="n">
        <f aca="false">IF($B6="","",M6+N6+O6)</f>
        <v>8325</v>
      </c>
      <c r="Q6" s="23" t="n">
        <f aca="false">IF($B6="","",P6*IVAParam)</f>
        <v>1748.25</v>
      </c>
      <c r="R6" s="23" t="n">
        <f aca="false">IF($B6="","",IF($H6="Full",AlmacenFull,0))</f>
        <v>300</v>
      </c>
      <c r="S6" s="23" t="n">
        <f aca="false">IF($B6="","",P6+Q6+R6)</f>
        <v>10373.25</v>
      </c>
      <c r="T6" s="23" t="n">
        <f aca="false">IF($B6="","",$D6*IIBBParam)</f>
        <v>1575</v>
      </c>
      <c r="U6" s="23" t="n">
        <f aca="false">IF($B6="","",$D6-$S6)</f>
        <v>34626.75</v>
      </c>
      <c r="V6" s="23" t="n">
        <f aca="false">IF($B6="","",$U6-$E6-$F6+IF(CondicionFiscal="Responsable Inscripto",$Q6,0))</f>
        <v>12126.75</v>
      </c>
      <c r="W6" s="24" t="n">
        <f aca="false">IF($B6="","",IF($D6=0,0,$V6/$D6))</f>
        <v>0.269483333333333</v>
      </c>
      <c r="X6" s="24" t="n">
        <f aca="false">IF($B6="","",IF(($E6+$F6)=0,0,$V6/($E6+$F6)))</f>
        <v>0.538966666666667</v>
      </c>
    </row>
    <row r="7" customFormat="false" ht="15.75" hidden="false" customHeight="true" outlineLevel="0" collapsed="false">
      <c r="A7" s="18" t="s">
        <v>76</v>
      </c>
      <c r="B7" s="19" t="s">
        <v>7</v>
      </c>
      <c r="C7" s="19" t="s">
        <v>73</v>
      </c>
      <c r="D7" s="20" t="n">
        <v>18000</v>
      </c>
      <c r="E7" s="20" t="n">
        <v>9000</v>
      </c>
      <c r="F7" s="20" t="n">
        <v>300</v>
      </c>
      <c r="G7" s="21" t="n">
        <v>0.3</v>
      </c>
      <c r="H7" s="19" t="s">
        <v>74</v>
      </c>
      <c r="I7" s="19" t="s">
        <v>75</v>
      </c>
      <c r="J7" s="19" t="s">
        <v>32</v>
      </c>
      <c r="K7" s="19" t="n">
        <v>3</v>
      </c>
      <c r="L7" s="22" t="n">
        <f aca="false">IF($B7="","",IFERROR(IF($C7="Premium",INDEX(ComisionPremium,MATCH($B7,CatList,0)),INDEX(ComisionClasica,MATCH($B7,CatList,0))),0))</f>
        <v>0.15</v>
      </c>
      <c r="M7" s="23" t="n">
        <f aca="false">IF($B7="","",$D7*$L7)</f>
        <v>2700</v>
      </c>
      <c r="N7" s="23" t="n">
        <f aca="false">IF($B7="","",IFERROR(IF(AND($D7&lt;UmbralEnvioGratis,$H7&lt;&gt;"Retiro en punto/sucursal (sin envío)"),INDEX(CostoFijoTramo,MATCH($D7,TramoPrecioDesde,1)),0)+IF($I7="Sí",INDEX(CostoEnvioPeso,MATCH($G7,TramoPesoDesde,1))*IF($H7="Full",1-INDEX(DescuentoFull,MATCH($J7,ReputacionList,0)),1),0),0))</f>
        <v>3750</v>
      </c>
      <c r="O7" s="23" t="n">
        <f aca="false">IF($B7="","",IFERROR($D7*INDEX(CargoCuotas,MATCH($K7,CuotasList,0)),0))</f>
        <v>1035</v>
      </c>
      <c r="P7" s="23" t="n">
        <f aca="false">IF($B7="","",M7+N7+O7)</f>
        <v>7485</v>
      </c>
      <c r="Q7" s="23" t="n">
        <f aca="false">IF($B7="","",P7*IVAParam)</f>
        <v>1571.85</v>
      </c>
      <c r="R7" s="23" t="n">
        <f aca="false">IF($B7="","",IF($H7="Full",AlmacenFull,0))</f>
        <v>300</v>
      </c>
      <c r="S7" s="23" t="n">
        <f aca="false">IF($B7="","",P7+Q7+R7)</f>
        <v>9356.85</v>
      </c>
      <c r="T7" s="23" t="n">
        <f aca="false">IF($B7="","",$D7*IIBBParam)</f>
        <v>630</v>
      </c>
      <c r="U7" s="23" t="n">
        <f aca="false">IF($B7="","",$D7-$S7)</f>
        <v>8643.15</v>
      </c>
      <c r="V7" s="23" t="n">
        <f aca="false">IF($B7="","",$U7-$E7-$F7+IF(CondicionFiscal="Responsable Inscripto",$Q7,0))</f>
        <v>-656.85</v>
      </c>
      <c r="W7" s="24" t="n">
        <f aca="false">IF($B7="","",IF($D7=0,0,$V7/$D7))</f>
        <v>-0.0364916666666667</v>
      </c>
      <c r="X7" s="24" t="n">
        <f aca="false">IF($B7="","",IF(($E7+$F7)=0,0,$V7/($E7+$F7)))</f>
        <v>-0.0706290322580646</v>
      </c>
    </row>
    <row r="8" customFormat="false" ht="15.75" hidden="false" customHeight="true" outlineLevel="0" collapsed="false">
      <c r="A8" s="18" t="s">
        <v>77</v>
      </c>
      <c r="B8" s="19" t="s">
        <v>10</v>
      </c>
      <c r="C8" s="19" t="s">
        <v>73</v>
      </c>
      <c r="D8" s="20" t="n">
        <v>12000</v>
      </c>
      <c r="E8" s="20" t="n">
        <v>6000</v>
      </c>
      <c r="F8" s="20" t="n">
        <v>200</v>
      </c>
      <c r="G8" s="21" t="n">
        <v>0.8</v>
      </c>
      <c r="H8" s="19" t="s">
        <v>78</v>
      </c>
      <c r="I8" s="19" t="s">
        <v>75</v>
      </c>
      <c r="J8" s="19"/>
      <c r="K8" s="19" t="n">
        <v>0</v>
      </c>
      <c r="L8" s="22" t="n">
        <f aca="false">IF($B8="","",IFERROR(IF($C8="Premium",INDEX(ComisionPremium,MATCH($B8,CatList,0)),INDEX(ComisionClasica,MATCH($B8,CatList,0))),0))</f>
        <v>0.13</v>
      </c>
      <c r="M8" s="23" t="n">
        <f aca="false">IF($B8="","",$D8*$L8)</f>
        <v>1560</v>
      </c>
      <c r="N8" s="23" t="n">
        <f aca="false">IF($B8="","",IFERROR(IF(AND($D8&lt;UmbralEnvioGratis,$H8&lt;&gt;"Retiro en punto/sucursal (sin envío)"),INDEX(CostoFijoTramo,MATCH($D8,TramoPrecioDesde,1)),0)+IF($I8="Sí",INDEX(CostoEnvioPeso,MATCH($G8,TramoPesoDesde,1))*IF($H8="Full",1-INDEX(DescuentoFull,MATCH($J8,ReputacionList,0)),1),0),0))</f>
        <v>3600</v>
      </c>
      <c r="O8" s="23" t="n">
        <f aca="false">IF($B8="","",IFERROR($D8*INDEX(CargoCuotas,MATCH($K8,CuotasList,0)),0))</f>
        <v>0</v>
      </c>
      <c r="P8" s="23" t="n">
        <f aca="false">IF($B8="","",M8+N8+O8)</f>
        <v>5160</v>
      </c>
      <c r="Q8" s="23" t="n">
        <f aca="false">IF($B8="","",P8*IVAParam)</f>
        <v>1083.6</v>
      </c>
      <c r="R8" s="23" t="n">
        <f aca="false">IF($B8="","",IF($H8="Full",AlmacenFull,0))</f>
        <v>0</v>
      </c>
      <c r="S8" s="23" t="n">
        <f aca="false">IF($B8="","",P8+Q8+R8)</f>
        <v>6243.6</v>
      </c>
      <c r="T8" s="23" t="n">
        <f aca="false">IF($B8="","",$D8*IIBBParam)</f>
        <v>420</v>
      </c>
      <c r="U8" s="23" t="n">
        <f aca="false">IF($B8="","",$D8-$S8)</f>
        <v>5756.4</v>
      </c>
      <c r="V8" s="23" t="n">
        <f aca="false">IF($B8="","",$U8-$E8-$F8+IF(CondicionFiscal="Responsable Inscripto",$Q8,0))</f>
        <v>-443.6</v>
      </c>
      <c r="W8" s="24" t="n">
        <f aca="false">IF($B8="","",IF($D8=0,0,$V8/$D8))</f>
        <v>-0.0369666666666667</v>
      </c>
      <c r="X8" s="24" t="n">
        <f aca="false">IF($B8="","",IF(($E8+$F8)=0,0,$V8/($E8+$F8)))</f>
        <v>-0.0715483870967743</v>
      </c>
    </row>
    <row r="9" customFormat="false" ht="15.75" hidden="false" customHeight="true" outlineLevel="0" collapsed="false">
      <c r="A9" s="18" t="s">
        <v>79</v>
      </c>
      <c r="B9" s="19" t="s">
        <v>11</v>
      </c>
      <c r="C9" s="19" t="s">
        <v>73</v>
      </c>
      <c r="D9" s="20" t="n">
        <v>8000</v>
      </c>
      <c r="E9" s="20" t="n">
        <v>4000</v>
      </c>
      <c r="F9" s="20" t="n">
        <v>100</v>
      </c>
      <c r="G9" s="21" t="n">
        <v>0.5</v>
      </c>
      <c r="H9" s="19" t="s">
        <v>80</v>
      </c>
      <c r="I9" s="19" t="s">
        <v>81</v>
      </c>
      <c r="J9" s="19"/>
      <c r="K9" s="19" t="n">
        <v>0</v>
      </c>
      <c r="L9" s="22" t="n">
        <f aca="false">IF($B9="","",IFERROR(IF($C9="Premium",INDEX(ComisionPremium,MATCH($B9,CatList,0)),INDEX(ComisionClasica,MATCH($B9,CatList,0))),0))</f>
        <v>0.135</v>
      </c>
      <c r="M9" s="23" t="n">
        <f aca="false">IF($B9="","",$D9*$L9)</f>
        <v>1080</v>
      </c>
      <c r="N9" s="23" t="n">
        <f aca="false">IF($B9="","",IFERROR(IF(AND($D9&lt;UmbralEnvioGratis,$H9&lt;&gt;"Retiro en punto/sucursal (sin envío)"),INDEX(CostoFijoTramo,MATCH($D9,TramoPrecioDesde,1)),0)+IF($I9="Sí",INDEX(CostoEnvioPeso,MATCH($G9,TramoPesoDesde,1))*IF($H9="Full",1-INDEX(DescuentoFull,MATCH($J9,ReputacionList,0)),1),0),0))</f>
        <v>0</v>
      </c>
      <c r="O9" s="23" t="n">
        <f aca="false">IF($B9="","",IFERROR($D9*INDEX(CargoCuotas,MATCH($K9,CuotasList,0)),0))</f>
        <v>0</v>
      </c>
      <c r="P9" s="23" t="n">
        <f aca="false">IF($B9="","",M9+N9+O9)</f>
        <v>1080</v>
      </c>
      <c r="Q9" s="23" t="n">
        <f aca="false">IF($B9="","",P9*IVAParam)</f>
        <v>226.8</v>
      </c>
      <c r="R9" s="23" t="n">
        <f aca="false">IF($B9="","",IF($H9="Full",AlmacenFull,0))</f>
        <v>0</v>
      </c>
      <c r="S9" s="23" t="n">
        <f aca="false">IF($B9="","",P9+Q9+R9)</f>
        <v>1306.8</v>
      </c>
      <c r="T9" s="23" t="n">
        <f aca="false">IF($B9="","",$D9*IIBBParam)</f>
        <v>280</v>
      </c>
      <c r="U9" s="23" t="n">
        <f aca="false">IF($B9="","",$D9-$S9)</f>
        <v>6693.2</v>
      </c>
      <c r="V9" s="23" t="n">
        <f aca="false">IF($B9="","",$U9-$E9-$F9+IF(CondicionFiscal="Responsable Inscripto",$Q9,0))</f>
        <v>2593.2</v>
      </c>
      <c r="W9" s="24" t="n">
        <f aca="false">IF($B9="","",IF($D9=0,0,$V9/$D9))</f>
        <v>0.32415</v>
      </c>
      <c r="X9" s="24" t="n">
        <f aca="false">IF($B9="","",IF(($E9+$F9)=0,0,$V9/($E9+$F9)))</f>
        <v>0.632487804878049</v>
      </c>
    </row>
    <row r="10" customFormat="false" ht="15.75" hidden="false" customHeight="true" outlineLevel="0" collapsed="false">
      <c r="A10" s="5"/>
      <c r="B10" s="5"/>
      <c r="C10" s="5"/>
      <c r="D10" s="10"/>
      <c r="E10" s="10"/>
      <c r="F10" s="10"/>
      <c r="G10" s="11"/>
      <c r="H10" s="5"/>
      <c r="I10" s="5"/>
      <c r="J10" s="5"/>
      <c r="K10" s="5"/>
      <c r="L10" s="25" t="str">
        <f aca="false">IF($B10="","",IFERROR(IF($C10="Premium",INDEX(ComisionPremium,MATCH($B10,CatList,0)),INDEX(ComisionClasica,MATCH($B10,CatList,0))),0))</f>
        <v/>
      </c>
      <c r="M10" s="26" t="str">
        <f aca="false">IF($B10="","",$D10*$L10)</f>
        <v/>
      </c>
      <c r="N10" s="26" t="str">
        <f aca="false">IF($B10="","",IFERROR(IF(AND($D10&lt;UmbralEnvioGratis,$H10&lt;&gt;"Retiro en punto/sucursal (sin envío)"),INDEX(CostoFijoTramo,MATCH($D10,TramoPrecioDesde,1)),0)+IF($I10="Sí",INDEX(CostoEnvioPeso,MATCH($G10,TramoPesoDesde,1))*IF($H10="Full",1-INDEX(DescuentoFull,MATCH($J10,ReputacionList,0)),1),0),0))</f>
        <v/>
      </c>
      <c r="O10" s="26" t="str">
        <f aca="false">IF($B10="","",IFERROR($D10*INDEX(CargoCuotas,MATCH($K10,CuotasList,0)),0))</f>
        <v/>
      </c>
      <c r="P10" s="26" t="str">
        <f aca="false">IF($B10="","",M10+N10+O10)</f>
        <v/>
      </c>
      <c r="Q10" s="26" t="str">
        <f aca="false">IF($B10="","",P10*IVAParam)</f>
        <v/>
      </c>
      <c r="R10" s="26" t="str">
        <f aca="false">IF($B10="","",IF($H10="Full",AlmacenFull,0))</f>
        <v/>
      </c>
      <c r="S10" s="26" t="str">
        <f aca="false">IF($B10="","",P10+Q10+R10)</f>
        <v/>
      </c>
      <c r="T10" s="26" t="str">
        <f aca="false">IF($B10="","",$D10*IIBBParam)</f>
        <v/>
      </c>
      <c r="U10" s="26" t="str">
        <f aca="false">IF($B10="","",$D10-$S10)</f>
        <v/>
      </c>
      <c r="V10" s="26" t="str">
        <f aca="false">IF($B10="","",$U10-$E10-$F10+IF(CondicionFiscal="Responsable Inscripto",$Q10,0))</f>
        <v/>
      </c>
      <c r="W10" s="27" t="str">
        <f aca="false">IF($B10="","",IF($D10=0,0,$V10/$D10))</f>
        <v/>
      </c>
      <c r="X10" s="27" t="str">
        <f aca="false">IF($B10="","",IF(($E10+$F10)=0,0,$V10/($E10+$F10)))</f>
        <v/>
      </c>
    </row>
    <row r="11" customFormat="false" ht="15.75" hidden="false" customHeight="true" outlineLevel="0" collapsed="false">
      <c r="A11" s="5"/>
      <c r="B11" s="5"/>
      <c r="C11" s="5"/>
      <c r="D11" s="10"/>
      <c r="E11" s="10"/>
      <c r="F11" s="10"/>
      <c r="G11" s="11"/>
      <c r="H11" s="5"/>
      <c r="I11" s="5"/>
      <c r="J11" s="5"/>
      <c r="K11" s="5"/>
      <c r="L11" s="25" t="str">
        <f aca="false">IF($B11="","",IFERROR(IF($C11="Premium",INDEX(ComisionPremium,MATCH($B11,CatList,0)),INDEX(ComisionClasica,MATCH($B11,CatList,0))),0))</f>
        <v/>
      </c>
      <c r="M11" s="26" t="str">
        <f aca="false">IF($B11="","",$D11*$L11)</f>
        <v/>
      </c>
      <c r="N11" s="26" t="str">
        <f aca="false">IF($B11="","",IFERROR(IF(AND($D11&lt;UmbralEnvioGratis,$H11&lt;&gt;"Retiro en punto/sucursal (sin envío)"),INDEX(CostoFijoTramo,MATCH($D11,TramoPrecioDesde,1)),0)+IF($I11="Sí",INDEX(CostoEnvioPeso,MATCH($G11,TramoPesoDesde,1))*IF($H11="Full",1-INDEX(DescuentoFull,MATCH($J11,ReputacionList,0)),1),0),0))</f>
        <v/>
      </c>
      <c r="O11" s="26" t="str">
        <f aca="false">IF($B11="","",IFERROR($D11*INDEX(CargoCuotas,MATCH($K11,CuotasList,0)),0))</f>
        <v/>
      </c>
      <c r="P11" s="26" t="str">
        <f aca="false">IF($B11="","",M11+N11+O11)</f>
        <v/>
      </c>
      <c r="Q11" s="26" t="str">
        <f aca="false">IF($B11="","",P11*IVAParam)</f>
        <v/>
      </c>
      <c r="R11" s="26" t="str">
        <f aca="false">IF($B11="","",IF($H11="Full",AlmacenFull,0))</f>
        <v/>
      </c>
      <c r="S11" s="26" t="str">
        <f aca="false">IF($B11="","",P11+Q11+R11)</f>
        <v/>
      </c>
      <c r="T11" s="26" t="str">
        <f aca="false">IF($B11="","",$D11*IIBBParam)</f>
        <v/>
      </c>
      <c r="U11" s="26" t="str">
        <f aca="false">IF($B11="","",$D11-$S11)</f>
        <v/>
      </c>
      <c r="V11" s="26" t="str">
        <f aca="false">IF($B11="","",$U11-$E11-$F11+IF(CondicionFiscal="Responsable Inscripto",$Q11,0))</f>
        <v/>
      </c>
      <c r="W11" s="27" t="str">
        <f aca="false">IF($B11="","",IF($D11=0,0,$V11/$D11))</f>
        <v/>
      </c>
      <c r="X11" s="27" t="str">
        <f aca="false">IF($B11="","",IF(($E11+$F11)=0,0,$V11/($E11+$F11)))</f>
        <v/>
      </c>
    </row>
    <row r="12" customFormat="false" ht="15.75" hidden="false" customHeight="true" outlineLevel="0" collapsed="false">
      <c r="A12" s="5"/>
      <c r="B12" s="5"/>
      <c r="C12" s="5"/>
      <c r="D12" s="10"/>
      <c r="E12" s="10"/>
      <c r="F12" s="10"/>
      <c r="G12" s="11"/>
      <c r="H12" s="5"/>
      <c r="I12" s="5"/>
      <c r="J12" s="5"/>
      <c r="K12" s="5"/>
      <c r="L12" s="25" t="str">
        <f aca="false">IF($B12="","",IFERROR(IF($C12="Premium",INDEX(ComisionPremium,MATCH($B12,CatList,0)),INDEX(ComisionClasica,MATCH($B12,CatList,0))),0))</f>
        <v/>
      </c>
      <c r="M12" s="26" t="str">
        <f aca="false">IF($B12="","",$D12*$L12)</f>
        <v/>
      </c>
      <c r="N12" s="26" t="str">
        <f aca="false">IF($B12="","",IFERROR(IF(AND($D12&lt;UmbralEnvioGratis,$H12&lt;&gt;"Retiro en punto/sucursal (sin envío)"),INDEX(CostoFijoTramo,MATCH($D12,TramoPrecioDesde,1)),0)+IF($I12="Sí",INDEX(CostoEnvioPeso,MATCH($G12,TramoPesoDesde,1))*IF($H12="Full",1-INDEX(DescuentoFull,MATCH($J12,ReputacionList,0)),1),0),0))</f>
        <v/>
      </c>
      <c r="O12" s="26" t="str">
        <f aca="false">IF($B12="","",IFERROR($D12*INDEX(CargoCuotas,MATCH($K12,CuotasList,0)),0))</f>
        <v/>
      </c>
      <c r="P12" s="26" t="str">
        <f aca="false">IF($B12="","",M12+N12+O12)</f>
        <v/>
      </c>
      <c r="Q12" s="26" t="str">
        <f aca="false">IF($B12="","",P12*IVAParam)</f>
        <v/>
      </c>
      <c r="R12" s="26" t="str">
        <f aca="false">IF($B12="","",IF($H12="Full",AlmacenFull,0))</f>
        <v/>
      </c>
      <c r="S12" s="26" t="str">
        <f aca="false">IF($B12="","",P12+Q12+R12)</f>
        <v/>
      </c>
      <c r="T12" s="26" t="str">
        <f aca="false">IF($B12="","",$D12*IIBBParam)</f>
        <v/>
      </c>
      <c r="U12" s="26" t="str">
        <f aca="false">IF($B12="","",$D12-$S12)</f>
        <v/>
      </c>
      <c r="V12" s="26" t="str">
        <f aca="false">IF($B12="","",$U12-$E12-$F12+IF(CondicionFiscal="Responsable Inscripto",$Q12,0))</f>
        <v/>
      </c>
      <c r="W12" s="27" t="str">
        <f aca="false">IF($B12="","",IF($D12=0,0,$V12/$D12))</f>
        <v/>
      </c>
      <c r="X12" s="27" t="str">
        <f aca="false">IF($B12="","",IF(($E12+$F12)=0,0,$V12/($E12+$F12)))</f>
        <v/>
      </c>
    </row>
    <row r="13" customFormat="false" ht="15.75" hidden="false" customHeight="true" outlineLevel="0" collapsed="false">
      <c r="A13" s="5"/>
      <c r="B13" s="5"/>
      <c r="C13" s="5"/>
      <c r="D13" s="10"/>
      <c r="E13" s="10"/>
      <c r="F13" s="10"/>
      <c r="G13" s="11"/>
      <c r="H13" s="5"/>
      <c r="I13" s="5"/>
      <c r="J13" s="5"/>
      <c r="K13" s="5"/>
      <c r="L13" s="25" t="str">
        <f aca="false">IF($B13="","",IFERROR(IF($C13="Premium",INDEX(ComisionPremium,MATCH($B13,CatList,0)),INDEX(ComisionClasica,MATCH($B13,CatList,0))),0))</f>
        <v/>
      </c>
      <c r="M13" s="26" t="str">
        <f aca="false">IF($B13="","",$D13*$L13)</f>
        <v/>
      </c>
      <c r="N13" s="26" t="str">
        <f aca="false">IF($B13="","",IFERROR(IF(AND($D13&lt;UmbralEnvioGratis,$H13&lt;&gt;"Retiro en punto/sucursal (sin envío)"),INDEX(CostoFijoTramo,MATCH($D13,TramoPrecioDesde,1)),0)+IF($I13="Sí",INDEX(CostoEnvioPeso,MATCH($G13,TramoPesoDesde,1))*IF($H13="Full",1-INDEX(DescuentoFull,MATCH($J13,ReputacionList,0)),1),0),0))</f>
        <v/>
      </c>
      <c r="O13" s="26" t="str">
        <f aca="false">IF($B13="","",IFERROR($D13*INDEX(CargoCuotas,MATCH($K13,CuotasList,0)),0))</f>
        <v/>
      </c>
      <c r="P13" s="26" t="str">
        <f aca="false">IF($B13="","",M13+N13+O13)</f>
        <v/>
      </c>
      <c r="Q13" s="26" t="str">
        <f aca="false">IF($B13="","",P13*IVAParam)</f>
        <v/>
      </c>
      <c r="R13" s="26" t="str">
        <f aca="false">IF($B13="","",IF($H13="Full",AlmacenFull,0))</f>
        <v/>
      </c>
      <c r="S13" s="26" t="str">
        <f aca="false">IF($B13="","",P13+Q13+R13)</f>
        <v/>
      </c>
      <c r="T13" s="26" t="str">
        <f aca="false">IF($B13="","",$D13*IIBBParam)</f>
        <v/>
      </c>
      <c r="U13" s="26" t="str">
        <f aca="false">IF($B13="","",$D13-$S13)</f>
        <v/>
      </c>
      <c r="V13" s="26" t="str">
        <f aca="false">IF($B13="","",$U13-$E13-$F13+IF(CondicionFiscal="Responsable Inscripto",$Q13,0))</f>
        <v/>
      </c>
      <c r="W13" s="27" t="str">
        <f aca="false">IF($B13="","",IF($D13=0,0,$V13/$D13))</f>
        <v/>
      </c>
      <c r="X13" s="27" t="str">
        <f aca="false">IF($B13="","",IF(($E13+$F13)=0,0,$V13/($E13+$F13)))</f>
        <v/>
      </c>
    </row>
    <row r="14" customFormat="false" ht="15.75" hidden="false" customHeight="true" outlineLevel="0" collapsed="false">
      <c r="A14" s="5"/>
      <c r="B14" s="5"/>
      <c r="C14" s="5"/>
      <c r="D14" s="10"/>
      <c r="E14" s="10"/>
      <c r="F14" s="10"/>
      <c r="G14" s="11"/>
      <c r="H14" s="5"/>
      <c r="I14" s="5"/>
      <c r="J14" s="5"/>
      <c r="K14" s="5"/>
      <c r="L14" s="25" t="str">
        <f aca="false">IF($B14="","",IFERROR(IF($C14="Premium",INDEX(ComisionPremium,MATCH($B14,CatList,0)),INDEX(ComisionClasica,MATCH($B14,CatList,0))),0))</f>
        <v/>
      </c>
      <c r="M14" s="26" t="str">
        <f aca="false">IF($B14="","",$D14*$L14)</f>
        <v/>
      </c>
      <c r="N14" s="26" t="str">
        <f aca="false">IF($B14="","",IFERROR(IF(AND($D14&lt;UmbralEnvioGratis,$H14&lt;&gt;"Retiro en punto/sucursal (sin envío)"),INDEX(CostoFijoTramo,MATCH($D14,TramoPrecioDesde,1)),0)+IF($I14="Sí",INDEX(CostoEnvioPeso,MATCH($G14,TramoPesoDesde,1))*IF($H14="Full",1-INDEX(DescuentoFull,MATCH($J14,ReputacionList,0)),1),0),0))</f>
        <v/>
      </c>
      <c r="O14" s="26" t="str">
        <f aca="false">IF($B14="","",IFERROR($D14*INDEX(CargoCuotas,MATCH($K14,CuotasList,0)),0))</f>
        <v/>
      </c>
      <c r="P14" s="26" t="str">
        <f aca="false">IF($B14="","",M14+N14+O14)</f>
        <v/>
      </c>
      <c r="Q14" s="26" t="str">
        <f aca="false">IF($B14="","",P14*IVAParam)</f>
        <v/>
      </c>
      <c r="R14" s="26" t="str">
        <f aca="false">IF($B14="","",IF($H14="Full",AlmacenFull,0))</f>
        <v/>
      </c>
      <c r="S14" s="26" t="str">
        <f aca="false">IF($B14="","",P14+Q14+R14)</f>
        <v/>
      </c>
      <c r="T14" s="26" t="str">
        <f aca="false">IF($B14="","",$D14*IIBBParam)</f>
        <v/>
      </c>
      <c r="U14" s="26" t="str">
        <f aca="false">IF($B14="","",$D14-$S14)</f>
        <v/>
      </c>
      <c r="V14" s="26" t="str">
        <f aca="false">IF($B14="","",$U14-$E14-$F14+IF(CondicionFiscal="Responsable Inscripto",$Q14,0))</f>
        <v/>
      </c>
      <c r="W14" s="27" t="str">
        <f aca="false">IF($B14="","",IF($D14=0,0,$V14/$D14))</f>
        <v/>
      </c>
      <c r="X14" s="27" t="str">
        <f aca="false">IF($B14="","",IF(($E14+$F14)=0,0,$V14/($E14+$F14)))</f>
        <v/>
      </c>
    </row>
    <row r="15" customFormat="false" ht="15.75" hidden="false" customHeight="true" outlineLevel="0" collapsed="false">
      <c r="A15" s="5"/>
      <c r="B15" s="5"/>
      <c r="C15" s="5"/>
      <c r="D15" s="10"/>
      <c r="E15" s="10"/>
      <c r="F15" s="10"/>
      <c r="G15" s="11"/>
      <c r="H15" s="5"/>
      <c r="I15" s="5"/>
      <c r="J15" s="5"/>
      <c r="K15" s="5"/>
      <c r="L15" s="25" t="str">
        <f aca="false">IF($B15="","",IFERROR(IF($C15="Premium",INDEX(ComisionPremium,MATCH($B15,CatList,0)),INDEX(ComisionClasica,MATCH($B15,CatList,0))),0))</f>
        <v/>
      </c>
      <c r="M15" s="26" t="str">
        <f aca="false">IF($B15="","",$D15*$L15)</f>
        <v/>
      </c>
      <c r="N15" s="26" t="str">
        <f aca="false">IF($B15="","",IFERROR(IF(AND($D15&lt;UmbralEnvioGratis,$H15&lt;&gt;"Retiro en punto/sucursal (sin envío)"),INDEX(CostoFijoTramo,MATCH($D15,TramoPrecioDesde,1)),0)+IF($I15="Sí",INDEX(CostoEnvioPeso,MATCH($G15,TramoPesoDesde,1))*IF($H15="Full",1-INDEX(DescuentoFull,MATCH($J15,ReputacionList,0)),1),0),0))</f>
        <v/>
      </c>
      <c r="O15" s="26" t="str">
        <f aca="false">IF($B15="","",IFERROR($D15*INDEX(CargoCuotas,MATCH($K15,CuotasList,0)),0))</f>
        <v/>
      </c>
      <c r="P15" s="26" t="str">
        <f aca="false">IF($B15="","",M15+N15+O15)</f>
        <v/>
      </c>
      <c r="Q15" s="26" t="str">
        <f aca="false">IF($B15="","",P15*IVAParam)</f>
        <v/>
      </c>
      <c r="R15" s="26" t="str">
        <f aca="false">IF($B15="","",IF($H15="Full",AlmacenFull,0))</f>
        <v/>
      </c>
      <c r="S15" s="26" t="str">
        <f aca="false">IF($B15="","",P15+Q15+R15)</f>
        <v/>
      </c>
      <c r="T15" s="26" t="str">
        <f aca="false">IF($B15="","",$D15*IIBBParam)</f>
        <v/>
      </c>
      <c r="U15" s="26" t="str">
        <f aca="false">IF($B15="","",$D15-$S15)</f>
        <v/>
      </c>
      <c r="V15" s="26" t="str">
        <f aca="false">IF($B15="","",$U15-$E15-$F15+IF(CondicionFiscal="Responsable Inscripto",$Q15,0))</f>
        <v/>
      </c>
      <c r="W15" s="27" t="str">
        <f aca="false">IF($B15="","",IF($D15=0,0,$V15/$D15))</f>
        <v/>
      </c>
      <c r="X15" s="27" t="str">
        <f aca="false">IF($B15="","",IF(($E15+$F15)=0,0,$V15/($E15+$F15)))</f>
        <v/>
      </c>
    </row>
    <row r="16" customFormat="false" ht="15.75" hidden="false" customHeight="true" outlineLevel="0" collapsed="false">
      <c r="A16" s="5"/>
      <c r="B16" s="5"/>
      <c r="C16" s="5"/>
      <c r="D16" s="10"/>
      <c r="E16" s="10"/>
      <c r="F16" s="10"/>
      <c r="G16" s="11"/>
      <c r="H16" s="5"/>
      <c r="I16" s="5"/>
      <c r="J16" s="5"/>
      <c r="K16" s="5"/>
      <c r="L16" s="25" t="str">
        <f aca="false">IF($B16="","",IFERROR(IF($C16="Premium",INDEX(ComisionPremium,MATCH($B16,CatList,0)),INDEX(ComisionClasica,MATCH($B16,CatList,0))),0))</f>
        <v/>
      </c>
      <c r="M16" s="26" t="str">
        <f aca="false">IF($B16="","",$D16*$L16)</f>
        <v/>
      </c>
      <c r="N16" s="26" t="str">
        <f aca="false">IF($B16="","",IFERROR(IF(AND($D16&lt;UmbralEnvioGratis,$H16&lt;&gt;"Retiro en punto/sucursal (sin envío)"),INDEX(CostoFijoTramo,MATCH($D16,TramoPrecioDesde,1)),0)+IF($I16="Sí",INDEX(CostoEnvioPeso,MATCH($G16,TramoPesoDesde,1))*IF($H16="Full",1-INDEX(DescuentoFull,MATCH($J16,ReputacionList,0)),1),0),0))</f>
        <v/>
      </c>
      <c r="O16" s="26" t="str">
        <f aca="false">IF($B16="","",IFERROR($D16*INDEX(CargoCuotas,MATCH($K16,CuotasList,0)),0))</f>
        <v/>
      </c>
      <c r="P16" s="26" t="str">
        <f aca="false">IF($B16="","",M16+N16+O16)</f>
        <v/>
      </c>
      <c r="Q16" s="26" t="str">
        <f aca="false">IF($B16="","",P16*IVAParam)</f>
        <v/>
      </c>
      <c r="R16" s="26" t="str">
        <f aca="false">IF($B16="","",IF($H16="Full",AlmacenFull,0))</f>
        <v/>
      </c>
      <c r="S16" s="26" t="str">
        <f aca="false">IF($B16="","",P16+Q16+R16)</f>
        <v/>
      </c>
      <c r="T16" s="26" t="str">
        <f aca="false">IF($B16="","",$D16*IIBBParam)</f>
        <v/>
      </c>
      <c r="U16" s="26" t="str">
        <f aca="false">IF($B16="","",$D16-$S16)</f>
        <v/>
      </c>
      <c r="V16" s="26" t="str">
        <f aca="false">IF($B16="","",$U16-$E16-$F16+IF(CondicionFiscal="Responsable Inscripto",$Q16,0))</f>
        <v/>
      </c>
      <c r="W16" s="27" t="str">
        <f aca="false">IF($B16="","",IF($D16=0,0,$V16/$D16))</f>
        <v/>
      </c>
      <c r="X16" s="27" t="str">
        <f aca="false">IF($B16="","",IF(($E16+$F16)=0,0,$V16/($E16+$F16)))</f>
        <v/>
      </c>
    </row>
    <row r="17" customFormat="false" ht="15.75" hidden="false" customHeight="true" outlineLevel="0" collapsed="false">
      <c r="A17" s="5"/>
      <c r="B17" s="5"/>
      <c r="C17" s="5"/>
      <c r="D17" s="10"/>
      <c r="E17" s="10"/>
      <c r="F17" s="10"/>
      <c r="G17" s="11"/>
      <c r="H17" s="5"/>
      <c r="I17" s="5"/>
      <c r="J17" s="5"/>
      <c r="K17" s="5"/>
      <c r="L17" s="25" t="str">
        <f aca="false">IF($B17="","",IFERROR(IF($C17="Premium",INDEX(ComisionPremium,MATCH($B17,CatList,0)),INDEX(ComisionClasica,MATCH($B17,CatList,0))),0))</f>
        <v/>
      </c>
      <c r="M17" s="26" t="str">
        <f aca="false">IF($B17="","",$D17*$L17)</f>
        <v/>
      </c>
      <c r="N17" s="26" t="str">
        <f aca="false">IF($B17="","",IFERROR(IF(AND($D17&lt;UmbralEnvioGratis,$H17&lt;&gt;"Retiro en punto/sucursal (sin envío)"),INDEX(CostoFijoTramo,MATCH($D17,TramoPrecioDesde,1)),0)+IF($I17="Sí",INDEX(CostoEnvioPeso,MATCH($G17,TramoPesoDesde,1))*IF($H17="Full",1-INDEX(DescuentoFull,MATCH($J17,ReputacionList,0)),1),0),0))</f>
        <v/>
      </c>
      <c r="O17" s="26" t="str">
        <f aca="false">IF($B17="","",IFERROR($D17*INDEX(CargoCuotas,MATCH($K17,CuotasList,0)),0))</f>
        <v/>
      </c>
      <c r="P17" s="26" t="str">
        <f aca="false">IF($B17="","",M17+N17+O17)</f>
        <v/>
      </c>
      <c r="Q17" s="26" t="str">
        <f aca="false">IF($B17="","",P17*IVAParam)</f>
        <v/>
      </c>
      <c r="R17" s="26" t="str">
        <f aca="false">IF($B17="","",IF($H17="Full",AlmacenFull,0))</f>
        <v/>
      </c>
      <c r="S17" s="26" t="str">
        <f aca="false">IF($B17="","",P17+Q17+R17)</f>
        <v/>
      </c>
      <c r="T17" s="26" t="str">
        <f aca="false">IF($B17="","",$D17*IIBBParam)</f>
        <v/>
      </c>
      <c r="U17" s="26" t="str">
        <f aca="false">IF($B17="","",$D17-$S17)</f>
        <v/>
      </c>
      <c r="V17" s="26" t="str">
        <f aca="false">IF($B17="","",$U17-$E17-$F17+IF(CondicionFiscal="Responsable Inscripto",$Q17,0))</f>
        <v/>
      </c>
      <c r="W17" s="27" t="str">
        <f aca="false">IF($B17="","",IF($D17=0,0,$V17/$D17))</f>
        <v/>
      </c>
      <c r="X17" s="27" t="str">
        <f aca="false">IF($B17="","",IF(($E17+$F17)=0,0,$V17/($E17+$F17)))</f>
        <v/>
      </c>
    </row>
    <row r="18" customFormat="false" ht="15.75" hidden="false" customHeight="true" outlineLevel="0" collapsed="false">
      <c r="A18" s="5"/>
      <c r="B18" s="5"/>
      <c r="C18" s="5"/>
      <c r="D18" s="10"/>
      <c r="E18" s="10"/>
      <c r="F18" s="10"/>
      <c r="G18" s="11"/>
      <c r="H18" s="5"/>
      <c r="I18" s="5"/>
      <c r="J18" s="5"/>
      <c r="K18" s="5"/>
      <c r="L18" s="25" t="str">
        <f aca="false">IF($B18="","",IFERROR(IF($C18="Premium",INDEX(ComisionPremium,MATCH($B18,CatList,0)),INDEX(ComisionClasica,MATCH($B18,CatList,0))),0))</f>
        <v/>
      </c>
      <c r="M18" s="26" t="str">
        <f aca="false">IF($B18="","",$D18*$L18)</f>
        <v/>
      </c>
      <c r="N18" s="26" t="str">
        <f aca="false">IF($B18="","",IFERROR(IF(AND($D18&lt;UmbralEnvioGratis,$H18&lt;&gt;"Retiro en punto/sucursal (sin envío)"),INDEX(CostoFijoTramo,MATCH($D18,TramoPrecioDesde,1)),0)+IF($I18="Sí",INDEX(CostoEnvioPeso,MATCH($G18,TramoPesoDesde,1))*IF($H18="Full",1-INDEX(DescuentoFull,MATCH($J18,ReputacionList,0)),1),0),0))</f>
        <v/>
      </c>
      <c r="O18" s="26" t="str">
        <f aca="false">IF($B18="","",IFERROR($D18*INDEX(CargoCuotas,MATCH($K18,CuotasList,0)),0))</f>
        <v/>
      </c>
      <c r="P18" s="26" t="str">
        <f aca="false">IF($B18="","",M18+N18+O18)</f>
        <v/>
      </c>
      <c r="Q18" s="26" t="str">
        <f aca="false">IF($B18="","",P18*IVAParam)</f>
        <v/>
      </c>
      <c r="R18" s="26" t="str">
        <f aca="false">IF($B18="","",IF($H18="Full",AlmacenFull,0))</f>
        <v/>
      </c>
      <c r="S18" s="26" t="str">
        <f aca="false">IF($B18="","",P18+Q18+R18)</f>
        <v/>
      </c>
      <c r="T18" s="26" t="str">
        <f aca="false">IF($B18="","",$D18*IIBBParam)</f>
        <v/>
      </c>
      <c r="U18" s="26" t="str">
        <f aca="false">IF($B18="","",$D18-$S18)</f>
        <v/>
      </c>
      <c r="V18" s="26" t="str">
        <f aca="false">IF($B18="","",$U18-$E18-$F18+IF(CondicionFiscal="Responsable Inscripto",$Q18,0))</f>
        <v/>
      </c>
      <c r="W18" s="27" t="str">
        <f aca="false">IF($B18="","",IF($D18=0,0,$V18/$D18))</f>
        <v/>
      </c>
      <c r="X18" s="27" t="str">
        <f aca="false">IF($B18="","",IF(($E18+$F18)=0,0,$V18/($E18+$F18)))</f>
        <v/>
      </c>
    </row>
    <row r="19" customFormat="false" ht="15.75" hidden="false" customHeight="true" outlineLevel="0" collapsed="false">
      <c r="A19" s="5"/>
      <c r="B19" s="5"/>
      <c r="C19" s="5"/>
      <c r="D19" s="10"/>
      <c r="E19" s="10"/>
      <c r="F19" s="10"/>
      <c r="G19" s="11"/>
      <c r="H19" s="5"/>
      <c r="I19" s="5"/>
      <c r="J19" s="5"/>
      <c r="K19" s="5"/>
      <c r="L19" s="25" t="str">
        <f aca="false">IF($B19="","",IFERROR(IF($C19="Premium",INDEX(ComisionPremium,MATCH($B19,CatList,0)),INDEX(ComisionClasica,MATCH($B19,CatList,0))),0))</f>
        <v/>
      </c>
      <c r="M19" s="26" t="str">
        <f aca="false">IF($B19="","",$D19*$L19)</f>
        <v/>
      </c>
      <c r="N19" s="26" t="str">
        <f aca="false">IF($B19="","",IFERROR(IF(AND($D19&lt;UmbralEnvioGratis,$H19&lt;&gt;"Retiro en punto/sucursal (sin envío)"),INDEX(CostoFijoTramo,MATCH($D19,TramoPrecioDesde,1)),0)+IF($I19="Sí",INDEX(CostoEnvioPeso,MATCH($G19,TramoPesoDesde,1))*IF($H19="Full",1-INDEX(DescuentoFull,MATCH($J19,ReputacionList,0)),1),0),0))</f>
        <v/>
      </c>
      <c r="O19" s="26" t="str">
        <f aca="false">IF($B19="","",IFERROR($D19*INDEX(CargoCuotas,MATCH($K19,CuotasList,0)),0))</f>
        <v/>
      </c>
      <c r="P19" s="26" t="str">
        <f aca="false">IF($B19="","",M19+N19+O19)</f>
        <v/>
      </c>
      <c r="Q19" s="26" t="str">
        <f aca="false">IF($B19="","",P19*IVAParam)</f>
        <v/>
      </c>
      <c r="R19" s="26" t="str">
        <f aca="false">IF($B19="","",IF($H19="Full",AlmacenFull,0))</f>
        <v/>
      </c>
      <c r="S19" s="26" t="str">
        <f aca="false">IF($B19="","",P19+Q19+R19)</f>
        <v/>
      </c>
      <c r="T19" s="26" t="str">
        <f aca="false">IF($B19="","",$D19*IIBBParam)</f>
        <v/>
      </c>
      <c r="U19" s="26" t="str">
        <f aca="false">IF($B19="","",$D19-$S19)</f>
        <v/>
      </c>
      <c r="V19" s="26" t="str">
        <f aca="false">IF($B19="","",$U19-$E19-$F19+IF(CondicionFiscal="Responsable Inscripto",$Q19,0))</f>
        <v/>
      </c>
      <c r="W19" s="27" t="str">
        <f aca="false">IF($B19="","",IF($D19=0,0,$V19/$D19))</f>
        <v/>
      </c>
      <c r="X19" s="27" t="str">
        <f aca="false">IF($B19="","",IF(($E19+$F19)=0,0,$V19/($E19+$F19)))</f>
        <v/>
      </c>
    </row>
    <row r="20" customFormat="false" ht="15.75" hidden="false" customHeight="true" outlineLevel="0" collapsed="false">
      <c r="A20" s="5"/>
      <c r="B20" s="5"/>
      <c r="C20" s="5"/>
      <c r="D20" s="10"/>
      <c r="E20" s="10"/>
      <c r="F20" s="10"/>
      <c r="G20" s="11"/>
      <c r="H20" s="5"/>
      <c r="I20" s="5"/>
      <c r="J20" s="5"/>
      <c r="K20" s="5"/>
      <c r="L20" s="25" t="str">
        <f aca="false">IF($B20="","",IFERROR(IF($C20="Premium",INDEX(ComisionPremium,MATCH($B20,CatList,0)),INDEX(ComisionClasica,MATCH($B20,CatList,0))),0))</f>
        <v/>
      </c>
      <c r="M20" s="26" t="str">
        <f aca="false">IF($B20="","",$D20*$L20)</f>
        <v/>
      </c>
      <c r="N20" s="26" t="str">
        <f aca="false">IF($B20="","",IFERROR(IF(AND($D20&lt;UmbralEnvioGratis,$H20&lt;&gt;"Retiro en punto/sucursal (sin envío)"),INDEX(CostoFijoTramo,MATCH($D20,TramoPrecioDesde,1)),0)+IF($I20="Sí",INDEX(CostoEnvioPeso,MATCH($G20,TramoPesoDesde,1))*IF($H20="Full",1-INDEX(DescuentoFull,MATCH($J20,ReputacionList,0)),1),0),0))</f>
        <v/>
      </c>
      <c r="O20" s="26" t="str">
        <f aca="false">IF($B20="","",IFERROR($D20*INDEX(CargoCuotas,MATCH($K20,CuotasList,0)),0))</f>
        <v/>
      </c>
      <c r="P20" s="26" t="str">
        <f aca="false">IF($B20="","",M20+N20+O20)</f>
        <v/>
      </c>
      <c r="Q20" s="26" t="str">
        <f aca="false">IF($B20="","",P20*IVAParam)</f>
        <v/>
      </c>
      <c r="R20" s="26" t="str">
        <f aca="false">IF($B20="","",IF($H20="Full",AlmacenFull,0))</f>
        <v/>
      </c>
      <c r="S20" s="26" t="str">
        <f aca="false">IF($B20="","",P20+Q20+R20)</f>
        <v/>
      </c>
      <c r="T20" s="26" t="str">
        <f aca="false">IF($B20="","",$D20*IIBBParam)</f>
        <v/>
      </c>
      <c r="U20" s="26" t="str">
        <f aca="false">IF($B20="","",$D20-$S20)</f>
        <v/>
      </c>
      <c r="V20" s="26" t="str">
        <f aca="false">IF($B20="","",$U20-$E20-$F20+IF(CondicionFiscal="Responsable Inscripto",$Q20,0))</f>
        <v/>
      </c>
      <c r="W20" s="27" t="str">
        <f aca="false">IF($B20="","",IF($D20=0,0,$V20/$D20))</f>
        <v/>
      </c>
      <c r="X20" s="27" t="str">
        <f aca="false">IF($B20="","",IF(($E20+$F20)=0,0,$V20/($E20+$F20)))</f>
        <v/>
      </c>
    </row>
    <row r="21" customFormat="false" ht="15.75" hidden="false" customHeight="true" outlineLevel="0" collapsed="false">
      <c r="A21" s="5"/>
      <c r="B21" s="5"/>
      <c r="C21" s="5"/>
      <c r="D21" s="10"/>
      <c r="E21" s="10"/>
      <c r="F21" s="10"/>
      <c r="G21" s="11"/>
      <c r="H21" s="5"/>
      <c r="I21" s="5"/>
      <c r="J21" s="5"/>
      <c r="K21" s="5"/>
      <c r="L21" s="25" t="str">
        <f aca="false">IF($B21="","",IFERROR(IF($C21="Premium",INDEX(ComisionPremium,MATCH($B21,CatList,0)),INDEX(ComisionClasica,MATCH($B21,CatList,0))),0))</f>
        <v/>
      </c>
      <c r="M21" s="26" t="str">
        <f aca="false">IF($B21="","",$D21*$L21)</f>
        <v/>
      </c>
      <c r="N21" s="26" t="str">
        <f aca="false">IF($B21="","",IFERROR(IF(AND($D21&lt;UmbralEnvioGratis,$H21&lt;&gt;"Retiro en punto/sucursal (sin envío)"),INDEX(CostoFijoTramo,MATCH($D21,TramoPrecioDesde,1)),0)+IF($I21="Sí",INDEX(CostoEnvioPeso,MATCH($G21,TramoPesoDesde,1))*IF($H21="Full",1-INDEX(DescuentoFull,MATCH($J21,ReputacionList,0)),1),0),0))</f>
        <v/>
      </c>
      <c r="O21" s="26" t="str">
        <f aca="false">IF($B21="","",IFERROR($D21*INDEX(CargoCuotas,MATCH($K21,CuotasList,0)),0))</f>
        <v/>
      </c>
      <c r="P21" s="26" t="str">
        <f aca="false">IF($B21="","",M21+N21+O21)</f>
        <v/>
      </c>
      <c r="Q21" s="26" t="str">
        <f aca="false">IF($B21="","",P21*IVAParam)</f>
        <v/>
      </c>
      <c r="R21" s="26" t="str">
        <f aca="false">IF($B21="","",IF($H21="Full",AlmacenFull,0))</f>
        <v/>
      </c>
      <c r="S21" s="26" t="str">
        <f aca="false">IF($B21="","",P21+Q21+R21)</f>
        <v/>
      </c>
      <c r="T21" s="26" t="str">
        <f aca="false">IF($B21="","",$D21*IIBBParam)</f>
        <v/>
      </c>
      <c r="U21" s="26" t="str">
        <f aca="false">IF($B21="","",$D21-$S21)</f>
        <v/>
      </c>
      <c r="V21" s="26" t="str">
        <f aca="false">IF($B21="","",$U21-$E21-$F21+IF(CondicionFiscal="Responsable Inscripto",$Q21,0))</f>
        <v/>
      </c>
      <c r="W21" s="27" t="str">
        <f aca="false">IF($B21="","",IF($D21=0,0,$V21/$D21))</f>
        <v/>
      </c>
      <c r="X21" s="27" t="str">
        <f aca="false">IF($B21="","",IF(($E21+$F21)=0,0,$V21/($E21+$F21)))</f>
        <v/>
      </c>
    </row>
    <row r="22" customFormat="false" ht="15.75" hidden="false" customHeight="true" outlineLevel="0" collapsed="false">
      <c r="A22" s="5"/>
      <c r="B22" s="5"/>
      <c r="C22" s="5"/>
      <c r="D22" s="10"/>
      <c r="E22" s="10"/>
      <c r="F22" s="10"/>
      <c r="G22" s="11"/>
      <c r="H22" s="5"/>
      <c r="I22" s="5"/>
      <c r="J22" s="5"/>
      <c r="K22" s="5"/>
      <c r="L22" s="25" t="str">
        <f aca="false">IF($B22="","",IFERROR(IF($C22="Premium",INDEX(ComisionPremium,MATCH($B22,CatList,0)),INDEX(ComisionClasica,MATCH($B22,CatList,0))),0))</f>
        <v/>
      </c>
      <c r="M22" s="26" t="str">
        <f aca="false">IF($B22="","",$D22*$L22)</f>
        <v/>
      </c>
      <c r="N22" s="26" t="str">
        <f aca="false">IF($B22="","",IFERROR(IF(AND($D22&lt;UmbralEnvioGratis,$H22&lt;&gt;"Retiro en punto/sucursal (sin envío)"),INDEX(CostoFijoTramo,MATCH($D22,TramoPrecioDesde,1)),0)+IF($I22="Sí",INDEX(CostoEnvioPeso,MATCH($G22,TramoPesoDesde,1))*IF($H22="Full",1-INDEX(DescuentoFull,MATCH($J22,ReputacionList,0)),1),0),0))</f>
        <v/>
      </c>
      <c r="O22" s="26" t="str">
        <f aca="false">IF($B22="","",IFERROR($D22*INDEX(CargoCuotas,MATCH($K22,CuotasList,0)),0))</f>
        <v/>
      </c>
      <c r="P22" s="26" t="str">
        <f aca="false">IF($B22="","",M22+N22+O22)</f>
        <v/>
      </c>
      <c r="Q22" s="26" t="str">
        <f aca="false">IF($B22="","",P22*IVAParam)</f>
        <v/>
      </c>
      <c r="R22" s="26" t="str">
        <f aca="false">IF($B22="","",IF($H22="Full",AlmacenFull,0))</f>
        <v/>
      </c>
      <c r="S22" s="26" t="str">
        <f aca="false">IF($B22="","",P22+Q22+R22)</f>
        <v/>
      </c>
      <c r="T22" s="26" t="str">
        <f aca="false">IF($B22="","",$D22*IIBBParam)</f>
        <v/>
      </c>
      <c r="U22" s="26" t="str">
        <f aca="false">IF($B22="","",$D22-$S22)</f>
        <v/>
      </c>
      <c r="V22" s="26" t="str">
        <f aca="false">IF($B22="","",$U22-$E22-$F22+IF(CondicionFiscal="Responsable Inscripto",$Q22,0))</f>
        <v/>
      </c>
      <c r="W22" s="27" t="str">
        <f aca="false">IF($B22="","",IF($D22=0,0,$V22/$D22))</f>
        <v/>
      </c>
      <c r="X22" s="27" t="str">
        <f aca="false">IF($B22="","",IF(($E22+$F22)=0,0,$V22/($E22+$F22)))</f>
        <v/>
      </c>
    </row>
    <row r="23" customFormat="false" ht="15.75" hidden="false" customHeight="true" outlineLevel="0" collapsed="false">
      <c r="A23" s="5"/>
      <c r="B23" s="5"/>
      <c r="C23" s="5"/>
      <c r="D23" s="10"/>
      <c r="E23" s="10"/>
      <c r="F23" s="10"/>
      <c r="G23" s="11"/>
      <c r="H23" s="5"/>
      <c r="I23" s="5"/>
      <c r="J23" s="5"/>
      <c r="K23" s="5"/>
      <c r="L23" s="25" t="str">
        <f aca="false">IF($B23="","",IFERROR(IF($C23="Premium",INDEX(ComisionPremium,MATCH($B23,CatList,0)),INDEX(ComisionClasica,MATCH($B23,CatList,0))),0))</f>
        <v/>
      </c>
      <c r="M23" s="26" t="str">
        <f aca="false">IF($B23="","",$D23*$L23)</f>
        <v/>
      </c>
      <c r="N23" s="26" t="str">
        <f aca="false">IF($B23="","",IFERROR(IF(AND($D23&lt;UmbralEnvioGratis,$H23&lt;&gt;"Retiro en punto/sucursal (sin envío)"),INDEX(CostoFijoTramo,MATCH($D23,TramoPrecioDesde,1)),0)+IF($I23="Sí",INDEX(CostoEnvioPeso,MATCH($G23,TramoPesoDesde,1))*IF($H23="Full",1-INDEX(DescuentoFull,MATCH($J23,ReputacionList,0)),1),0),0))</f>
        <v/>
      </c>
      <c r="O23" s="26" t="str">
        <f aca="false">IF($B23="","",IFERROR($D23*INDEX(CargoCuotas,MATCH($K23,CuotasList,0)),0))</f>
        <v/>
      </c>
      <c r="P23" s="26" t="str">
        <f aca="false">IF($B23="","",M23+N23+O23)</f>
        <v/>
      </c>
      <c r="Q23" s="26" t="str">
        <f aca="false">IF($B23="","",P23*IVAParam)</f>
        <v/>
      </c>
      <c r="R23" s="26" t="str">
        <f aca="false">IF($B23="","",IF($H23="Full",AlmacenFull,0))</f>
        <v/>
      </c>
      <c r="S23" s="26" t="str">
        <f aca="false">IF($B23="","",P23+Q23+R23)</f>
        <v/>
      </c>
      <c r="T23" s="26" t="str">
        <f aca="false">IF($B23="","",$D23*IIBBParam)</f>
        <v/>
      </c>
      <c r="U23" s="26" t="str">
        <f aca="false">IF($B23="","",$D23-$S23)</f>
        <v/>
      </c>
      <c r="V23" s="26" t="str">
        <f aca="false">IF($B23="","",$U23-$E23-$F23+IF(CondicionFiscal="Responsable Inscripto",$Q23,0))</f>
        <v/>
      </c>
      <c r="W23" s="27" t="str">
        <f aca="false">IF($B23="","",IF($D23=0,0,$V23/$D23))</f>
        <v/>
      </c>
      <c r="X23" s="27" t="str">
        <f aca="false">IF($B23="","",IF(($E23+$F23)=0,0,$V23/($E23+$F23)))</f>
        <v/>
      </c>
    </row>
    <row r="24" customFormat="false" ht="15.75" hidden="false" customHeight="true" outlineLevel="0" collapsed="false">
      <c r="A24" s="5"/>
      <c r="B24" s="5"/>
      <c r="C24" s="5"/>
      <c r="D24" s="10"/>
      <c r="E24" s="10"/>
      <c r="F24" s="10"/>
      <c r="G24" s="11"/>
      <c r="H24" s="5"/>
      <c r="I24" s="5"/>
      <c r="J24" s="5"/>
      <c r="K24" s="5"/>
      <c r="L24" s="25" t="str">
        <f aca="false">IF($B24="","",IFERROR(IF($C24="Premium",INDEX(ComisionPremium,MATCH($B24,CatList,0)),INDEX(ComisionClasica,MATCH($B24,CatList,0))),0))</f>
        <v/>
      </c>
      <c r="M24" s="26" t="str">
        <f aca="false">IF($B24="","",$D24*$L24)</f>
        <v/>
      </c>
      <c r="N24" s="26" t="str">
        <f aca="false">IF($B24="","",IFERROR(IF(AND($D24&lt;UmbralEnvioGratis,$H24&lt;&gt;"Retiro en punto/sucursal (sin envío)"),INDEX(CostoFijoTramo,MATCH($D24,TramoPrecioDesde,1)),0)+IF($I24="Sí",INDEX(CostoEnvioPeso,MATCH($G24,TramoPesoDesde,1))*IF($H24="Full",1-INDEX(DescuentoFull,MATCH($J24,ReputacionList,0)),1),0),0))</f>
        <v/>
      </c>
      <c r="O24" s="26" t="str">
        <f aca="false">IF($B24="","",IFERROR($D24*INDEX(CargoCuotas,MATCH($K24,CuotasList,0)),0))</f>
        <v/>
      </c>
      <c r="P24" s="26" t="str">
        <f aca="false">IF($B24="","",M24+N24+O24)</f>
        <v/>
      </c>
      <c r="Q24" s="26" t="str">
        <f aca="false">IF($B24="","",P24*IVAParam)</f>
        <v/>
      </c>
      <c r="R24" s="26" t="str">
        <f aca="false">IF($B24="","",IF($H24="Full",AlmacenFull,0))</f>
        <v/>
      </c>
      <c r="S24" s="26" t="str">
        <f aca="false">IF($B24="","",P24+Q24+R24)</f>
        <v/>
      </c>
      <c r="T24" s="26" t="str">
        <f aca="false">IF($B24="","",$D24*IIBBParam)</f>
        <v/>
      </c>
      <c r="U24" s="26" t="str">
        <f aca="false">IF($B24="","",$D24-$S24)</f>
        <v/>
      </c>
      <c r="V24" s="26" t="str">
        <f aca="false">IF($B24="","",$U24-$E24-$F24+IF(CondicionFiscal="Responsable Inscripto",$Q24,0))</f>
        <v/>
      </c>
      <c r="W24" s="27" t="str">
        <f aca="false">IF($B24="","",IF($D24=0,0,$V24/$D24))</f>
        <v/>
      </c>
      <c r="X24" s="27" t="str">
        <f aca="false">IF($B24="","",IF(($E24+$F24)=0,0,$V24/($E24+$F24)))</f>
        <v/>
      </c>
    </row>
    <row r="25" customFormat="false" ht="15.75" hidden="false" customHeight="true" outlineLevel="0" collapsed="false">
      <c r="A25" s="5"/>
      <c r="B25" s="5"/>
      <c r="C25" s="5"/>
      <c r="D25" s="10"/>
      <c r="E25" s="10"/>
      <c r="F25" s="10"/>
      <c r="G25" s="11"/>
      <c r="H25" s="5"/>
      <c r="I25" s="5"/>
      <c r="J25" s="5"/>
      <c r="K25" s="5"/>
      <c r="L25" s="25" t="str">
        <f aca="false">IF($B25="","",IFERROR(IF($C25="Premium",INDEX(ComisionPremium,MATCH($B25,CatList,0)),INDEX(ComisionClasica,MATCH($B25,CatList,0))),0))</f>
        <v/>
      </c>
      <c r="M25" s="26" t="str">
        <f aca="false">IF($B25="","",$D25*$L25)</f>
        <v/>
      </c>
      <c r="N25" s="26" t="str">
        <f aca="false">IF($B25="","",IFERROR(IF(AND($D25&lt;UmbralEnvioGratis,$H25&lt;&gt;"Retiro en punto/sucursal (sin envío)"),INDEX(CostoFijoTramo,MATCH($D25,TramoPrecioDesde,1)),0)+IF($I25="Sí",INDEX(CostoEnvioPeso,MATCH($G25,TramoPesoDesde,1))*IF($H25="Full",1-INDEX(DescuentoFull,MATCH($J25,ReputacionList,0)),1),0),0))</f>
        <v/>
      </c>
      <c r="O25" s="26" t="str">
        <f aca="false">IF($B25="","",IFERROR($D25*INDEX(CargoCuotas,MATCH($K25,CuotasList,0)),0))</f>
        <v/>
      </c>
      <c r="P25" s="26" t="str">
        <f aca="false">IF($B25="","",M25+N25+O25)</f>
        <v/>
      </c>
      <c r="Q25" s="26" t="str">
        <f aca="false">IF($B25="","",P25*IVAParam)</f>
        <v/>
      </c>
      <c r="R25" s="26" t="str">
        <f aca="false">IF($B25="","",IF($H25="Full",AlmacenFull,0))</f>
        <v/>
      </c>
      <c r="S25" s="26" t="str">
        <f aca="false">IF($B25="","",P25+Q25+R25)</f>
        <v/>
      </c>
      <c r="T25" s="26" t="str">
        <f aca="false">IF($B25="","",$D25*IIBBParam)</f>
        <v/>
      </c>
      <c r="U25" s="26" t="str">
        <f aca="false">IF($B25="","",$D25-$S25)</f>
        <v/>
      </c>
      <c r="V25" s="26" t="str">
        <f aca="false">IF($B25="","",$U25-$E25-$F25+IF(CondicionFiscal="Responsable Inscripto",$Q25,0))</f>
        <v/>
      </c>
      <c r="W25" s="27" t="str">
        <f aca="false">IF($B25="","",IF($D25=0,0,$V25/$D25))</f>
        <v/>
      </c>
      <c r="X25" s="27" t="str">
        <f aca="false">IF($B25="","",IF(($E25+$F25)=0,0,$V25/($E25+$F25)))</f>
        <v/>
      </c>
    </row>
    <row r="26" customFormat="false" ht="15.75" hidden="false" customHeight="true" outlineLevel="0" collapsed="false">
      <c r="A26" s="5"/>
      <c r="B26" s="5"/>
      <c r="C26" s="5"/>
      <c r="D26" s="10"/>
      <c r="E26" s="10"/>
      <c r="F26" s="10"/>
      <c r="G26" s="11"/>
      <c r="H26" s="5"/>
      <c r="I26" s="5"/>
      <c r="J26" s="5"/>
      <c r="K26" s="5"/>
      <c r="L26" s="25" t="str">
        <f aca="false">IF($B26="","",IFERROR(IF($C26="Premium",INDEX(ComisionPremium,MATCH($B26,CatList,0)),INDEX(ComisionClasica,MATCH($B26,CatList,0))),0))</f>
        <v/>
      </c>
      <c r="M26" s="26" t="str">
        <f aca="false">IF($B26="","",$D26*$L26)</f>
        <v/>
      </c>
      <c r="N26" s="26" t="str">
        <f aca="false">IF($B26="","",IFERROR(IF(AND($D26&lt;UmbralEnvioGratis,$H26&lt;&gt;"Retiro en punto/sucursal (sin envío)"),INDEX(CostoFijoTramo,MATCH($D26,TramoPrecioDesde,1)),0)+IF($I26="Sí",INDEX(CostoEnvioPeso,MATCH($G26,TramoPesoDesde,1))*IF($H26="Full",1-INDEX(DescuentoFull,MATCH($J26,ReputacionList,0)),1),0),0))</f>
        <v/>
      </c>
      <c r="O26" s="26" t="str">
        <f aca="false">IF($B26="","",IFERROR($D26*INDEX(CargoCuotas,MATCH($K26,CuotasList,0)),0))</f>
        <v/>
      </c>
      <c r="P26" s="26" t="str">
        <f aca="false">IF($B26="","",M26+N26+O26)</f>
        <v/>
      </c>
      <c r="Q26" s="26" t="str">
        <f aca="false">IF($B26="","",P26*IVAParam)</f>
        <v/>
      </c>
      <c r="R26" s="26" t="str">
        <f aca="false">IF($B26="","",IF($H26="Full",AlmacenFull,0))</f>
        <v/>
      </c>
      <c r="S26" s="26" t="str">
        <f aca="false">IF($B26="","",P26+Q26+R26)</f>
        <v/>
      </c>
      <c r="T26" s="26" t="str">
        <f aca="false">IF($B26="","",$D26*IIBBParam)</f>
        <v/>
      </c>
      <c r="U26" s="26" t="str">
        <f aca="false">IF($B26="","",$D26-$S26)</f>
        <v/>
      </c>
      <c r="V26" s="26" t="str">
        <f aca="false">IF($B26="","",$U26-$E26-$F26+IF(CondicionFiscal="Responsable Inscripto",$Q26,0))</f>
        <v/>
      </c>
      <c r="W26" s="27" t="str">
        <f aca="false">IF($B26="","",IF($D26=0,0,$V26/$D26))</f>
        <v/>
      </c>
      <c r="X26" s="27" t="str">
        <f aca="false">IF($B26="","",IF(($E26+$F26)=0,0,$V26/($E26+$F26)))</f>
        <v/>
      </c>
    </row>
    <row r="27" customFormat="false" ht="15.75" hidden="false" customHeight="true" outlineLevel="0" collapsed="false">
      <c r="A27" s="5"/>
      <c r="B27" s="5"/>
      <c r="C27" s="5"/>
      <c r="D27" s="10"/>
      <c r="E27" s="10"/>
      <c r="F27" s="10"/>
      <c r="G27" s="11"/>
      <c r="H27" s="5"/>
      <c r="I27" s="5"/>
      <c r="J27" s="5"/>
      <c r="K27" s="5"/>
      <c r="L27" s="25" t="str">
        <f aca="false">IF($B27="","",IFERROR(IF($C27="Premium",INDEX(ComisionPremium,MATCH($B27,CatList,0)),INDEX(ComisionClasica,MATCH($B27,CatList,0))),0))</f>
        <v/>
      </c>
      <c r="M27" s="26" t="str">
        <f aca="false">IF($B27="","",$D27*$L27)</f>
        <v/>
      </c>
      <c r="N27" s="26" t="str">
        <f aca="false">IF($B27="","",IFERROR(IF(AND($D27&lt;UmbralEnvioGratis,$H27&lt;&gt;"Retiro en punto/sucursal (sin envío)"),INDEX(CostoFijoTramo,MATCH($D27,TramoPrecioDesde,1)),0)+IF($I27="Sí",INDEX(CostoEnvioPeso,MATCH($G27,TramoPesoDesde,1))*IF($H27="Full",1-INDEX(DescuentoFull,MATCH($J27,ReputacionList,0)),1),0),0))</f>
        <v/>
      </c>
      <c r="O27" s="26" t="str">
        <f aca="false">IF($B27="","",IFERROR($D27*INDEX(CargoCuotas,MATCH($K27,CuotasList,0)),0))</f>
        <v/>
      </c>
      <c r="P27" s="26" t="str">
        <f aca="false">IF($B27="","",M27+N27+O27)</f>
        <v/>
      </c>
      <c r="Q27" s="26" t="str">
        <f aca="false">IF($B27="","",P27*IVAParam)</f>
        <v/>
      </c>
      <c r="R27" s="26" t="str">
        <f aca="false">IF($B27="","",IF($H27="Full",AlmacenFull,0))</f>
        <v/>
      </c>
      <c r="S27" s="26" t="str">
        <f aca="false">IF($B27="","",P27+Q27+R27)</f>
        <v/>
      </c>
      <c r="T27" s="26" t="str">
        <f aca="false">IF($B27="","",$D27*IIBBParam)</f>
        <v/>
      </c>
      <c r="U27" s="26" t="str">
        <f aca="false">IF($B27="","",$D27-$S27)</f>
        <v/>
      </c>
      <c r="V27" s="26" t="str">
        <f aca="false">IF($B27="","",$U27-$E27-$F27+IF(CondicionFiscal="Responsable Inscripto",$Q27,0))</f>
        <v/>
      </c>
      <c r="W27" s="27" t="str">
        <f aca="false">IF($B27="","",IF($D27=0,0,$V27/$D27))</f>
        <v/>
      </c>
      <c r="X27" s="27" t="str">
        <f aca="false">IF($B27="","",IF(($E27+$F27)=0,0,$V27/($E27+$F27)))</f>
        <v/>
      </c>
    </row>
    <row r="28" customFormat="false" ht="15.75" hidden="false" customHeight="true" outlineLevel="0" collapsed="false">
      <c r="A28" s="5"/>
      <c r="B28" s="5"/>
      <c r="C28" s="5"/>
      <c r="D28" s="10"/>
      <c r="E28" s="10"/>
      <c r="F28" s="10"/>
      <c r="G28" s="11"/>
      <c r="H28" s="5"/>
      <c r="I28" s="5"/>
      <c r="J28" s="5"/>
      <c r="K28" s="5"/>
      <c r="L28" s="25" t="str">
        <f aca="false">IF($B28="","",IFERROR(IF($C28="Premium",INDEX(ComisionPremium,MATCH($B28,CatList,0)),INDEX(ComisionClasica,MATCH($B28,CatList,0))),0))</f>
        <v/>
      </c>
      <c r="M28" s="26" t="str">
        <f aca="false">IF($B28="","",$D28*$L28)</f>
        <v/>
      </c>
      <c r="N28" s="26" t="str">
        <f aca="false">IF($B28="","",IFERROR(IF(AND($D28&lt;UmbralEnvioGratis,$H28&lt;&gt;"Retiro en punto/sucursal (sin envío)"),INDEX(CostoFijoTramo,MATCH($D28,TramoPrecioDesde,1)),0)+IF($I28="Sí",INDEX(CostoEnvioPeso,MATCH($G28,TramoPesoDesde,1))*IF($H28="Full",1-INDEX(DescuentoFull,MATCH($J28,ReputacionList,0)),1),0),0))</f>
        <v/>
      </c>
      <c r="O28" s="26" t="str">
        <f aca="false">IF($B28="","",IFERROR($D28*INDEX(CargoCuotas,MATCH($K28,CuotasList,0)),0))</f>
        <v/>
      </c>
      <c r="P28" s="26" t="str">
        <f aca="false">IF($B28="","",M28+N28+O28)</f>
        <v/>
      </c>
      <c r="Q28" s="26" t="str">
        <f aca="false">IF($B28="","",P28*IVAParam)</f>
        <v/>
      </c>
      <c r="R28" s="26" t="str">
        <f aca="false">IF($B28="","",IF($H28="Full",AlmacenFull,0))</f>
        <v/>
      </c>
      <c r="S28" s="26" t="str">
        <f aca="false">IF($B28="","",P28+Q28+R28)</f>
        <v/>
      </c>
      <c r="T28" s="26" t="str">
        <f aca="false">IF($B28="","",$D28*IIBBParam)</f>
        <v/>
      </c>
      <c r="U28" s="26" t="str">
        <f aca="false">IF($B28="","",$D28-$S28)</f>
        <v/>
      </c>
      <c r="V28" s="26" t="str">
        <f aca="false">IF($B28="","",$U28-$E28-$F28+IF(CondicionFiscal="Responsable Inscripto",$Q28,0))</f>
        <v/>
      </c>
      <c r="W28" s="27" t="str">
        <f aca="false">IF($B28="","",IF($D28=0,0,$V28/$D28))</f>
        <v/>
      </c>
      <c r="X28" s="27" t="str">
        <f aca="false">IF($B28="","",IF(($E28+$F28)=0,0,$V28/($E28+$F28)))</f>
        <v/>
      </c>
    </row>
    <row r="29" customFormat="false" ht="15.75" hidden="false" customHeight="true" outlineLevel="0" collapsed="false">
      <c r="A29" s="5"/>
      <c r="B29" s="5"/>
      <c r="C29" s="5"/>
      <c r="D29" s="10"/>
      <c r="E29" s="10"/>
      <c r="F29" s="10"/>
      <c r="G29" s="11"/>
      <c r="H29" s="5"/>
      <c r="I29" s="5"/>
      <c r="J29" s="5"/>
      <c r="K29" s="5"/>
      <c r="L29" s="25" t="str">
        <f aca="false">IF($B29="","",IFERROR(IF($C29="Premium",INDEX(ComisionPremium,MATCH($B29,CatList,0)),INDEX(ComisionClasica,MATCH($B29,CatList,0))),0))</f>
        <v/>
      </c>
      <c r="M29" s="26" t="str">
        <f aca="false">IF($B29="","",$D29*$L29)</f>
        <v/>
      </c>
      <c r="N29" s="26" t="str">
        <f aca="false">IF($B29="","",IFERROR(IF(AND($D29&lt;UmbralEnvioGratis,$H29&lt;&gt;"Retiro en punto/sucursal (sin envío)"),INDEX(CostoFijoTramo,MATCH($D29,TramoPrecioDesde,1)),0)+IF($I29="Sí",INDEX(CostoEnvioPeso,MATCH($G29,TramoPesoDesde,1))*IF($H29="Full",1-INDEX(DescuentoFull,MATCH($J29,ReputacionList,0)),1),0),0))</f>
        <v/>
      </c>
      <c r="O29" s="26" t="str">
        <f aca="false">IF($B29="","",IFERROR($D29*INDEX(CargoCuotas,MATCH($K29,CuotasList,0)),0))</f>
        <v/>
      </c>
      <c r="P29" s="26" t="str">
        <f aca="false">IF($B29="","",M29+N29+O29)</f>
        <v/>
      </c>
      <c r="Q29" s="26" t="str">
        <f aca="false">IF($B29="","",P29*IVAParam)</f>
        <v/>
      </c>
      <c r="R29" s="26" t="str">
        <f aca="false">IF($B29="","",IF($H29="Full",AlmacenFull,0))</f>
        <v/>
      </c>
      <c r="S29" s="26" t="str">
        <f aca="false">IF($B29="","",P29+Q29+R29)</f>
        <v/>
      </c>
      <c r="T29" s="26" t="str">
        <f aca="false">IF($B29="","",$D29*IIBBParam)</f>
        <v/>
      </c>
      <c r="U29" s="26" t="str">
        <f aca="false">IF($B29="","",$D29-$S29)</f>
        <v/>
      </c>
      <c r="V29" s="26" t="str">
        <f aca="false">IF($B29="","",$U29-$E29-$F29+IF(CondicionFiscal="Responsable Inscripto",$Q29,0))</f>
        <v/>
      </c>
      <c r="W29" s="27" t="str">
        <f aca="false">IF($B29="","",IF($D29=0,0,$V29/$D29))</f>
        <v/>
      </c>
      <c r="X29" s="27" t="str">
        <f aca="false">IF($B29="","",IF(($E29+$F29)=0,0,$V29/($E29+$F29)))</f>
        <v/>
      </c>
    </row>
  </sheetData>
  <mergeCells count="3">
    <mergeCell ref="A1:X1"/>
    <mergeCell ref="A2:X2"/>
    <mergeCell ref="A3:X3"/>
  </mergeCells>
  <conditionalFormatting sqref="W6:X29">
    <cfRule type="colorScale" priority="2">
      <colorScale>
        <cfvo type="num" val="-0.1"/>
        <cfvo type="num" val="0.15"/>
        <cfvo type="num" val="0.4"/>
        <color rgb="FFF8696B"/>
        <color rgb="FFFFEB84"/>
        <color rgb="FF63BE7B"/>
      </colorScale>
    </cfRule>
  </conditionalFormatting>
  <dataValidations count="6">
    <dataValidation allowBlank="true" errorStyle="stop" operator="between" showDropDown="false" showErrorMessage="false" showInputMessage="false" sqref="B6:B29" type="list">
      <formula1>CatList</formula1>
      <formula2>0</formula2>
    </dataValidation>
    <dataValidation allowBlank="true" errorStyle="stop" operator="between" showDropDown="false" showErrorMessage="false" showInputMessage="false" sqref="C6:C29" type="list">
      <formula1>"Clásica,Premium"</formula1>
      <formula2>0</formula2>
    </dataValidation>
    <dataValidation allowBlank="true" errorStyle="stop" operator="between" showDropDown="false" showErrorMessage="false" showInputMessage="false" sqref="H6:H29" type="list">
      <formula1>"Full,Mercado Envíos (sin Full),Retiro en punto/sucursal (sin envío)"</formula1>
      <formula2>0</formula2>
    </dataValidation>
    <dataValidation allowBlank="true" errorStyle="stop" operator="between" showDropDown="false" showErrorMessage="false" showInputMessage="false" sqref="I6:I29" type="list">
      <formula1>"Sí,No"</formula1>
      <formula2>0</formula2>
    </dataValidation>
    <dataValidation allowBlank="true" errorStyle="stop" operator="between" showDropDown="false" showErrorMessage="false" showInputMessage="false" sqref="J6:J29" type="list">
      <formula1>ReputacionList</formula1>
      <formula2>0</formula2>
    </dataValidation>
    <dataValidation allowBlank="true" errorStyle="stop" operator="between" showDropDown="false" showErrorMessage="false" showInputMessage="false" sqref="K6:K29" type="list">
      <formula1>CuotasList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0"/>
    <col collapsed="false" customWidth="true" hidden="false" outlineLevel="0" max="2" min="2" style="0" width="22"/>
    <col collapsed="false" customWidth="true" hidden="false" outlineLevel="0" max="3" min="3" style="0" width="4"/>
    <col collapsed="false" customWidth="true" hidden="false" outlineLevel="0" max="4" min="4" style="0" width="30"/>
    <col collapsed="false" customWidth="true" hidden="false" outlineLevel="0" max="5" min="5" style="0" width="22"/>
    <col collapsed="false" customWidth="true" hidden="false" outlineLevel="0" max="6" min="6" style="0" width="4"/>
    <col collapsed="false" customWidth="true" hidden="false" outlineLevel="0" max="7" min="7" style="0" width="30"/>
    <col collapsed="false" customWidth="true" hidden="false" outlineLevel="0" max="8" min="8" style="0" width="22"/>
  </cols>
  <sheetData>
    <row r="1" customFormat="false" ht="25.5" hidden="false" customHeight="true" outlineLevel="0" collapsed="false">
      <c r="A1" s="1" t="s">
        <v>82</v>
      </c>
      <c r="B1" s="1"/>
      <c r="C1" s="1"/>
      <c r="D1" s="1"/>
      <c r="E1" s="1"/>
      <c r="F1" s="1"/>
      <c r="G1" s="1"/>
      <c r="H1" s="1"/>
    </row>
    <row r="2" customFormat="false" ht="24" hidden="false" customHeight="true" outlineLevel="0" collapsed="false">
      <c r="A2" s="2" t="s">
        <v>83</v>
      </c>
      <c r="B2" s="2"/>
      <c r="C2" s="2"/>
      <c r="D2" s="2"/>
      <c r="E2" s="2"/>
      <c r="F2" s="2"/>
      <c r="G2" s="2"/>
      <c r="H2" s="2"/>
    </row>
    <row r="4" customFormat="false" ht="30" hidden="false" customHeight="true" outlineLevel="0" collapsed="false">
      <c r="A4" s="28" t="s">
        <v>84</v>
      </c>
      <c r="B4" s="28"/>
      <c r="D4" s="28" t="s">
        <v>85</v>
      </c>
      <c r="E4" s="28"/>
      <c r="G4" s="28" t="s">
        <v>86</v>
      </c>
      <c r="H4" s="28"/>
    </row>
    <row r="5" customFormat="false" ht="33.75" hidden="false" customHeight="true" outlineLevel="0" collapsed="false">
      <c r="A5" s="29" t="n">
        <f aca="false">COUNT(Calculadora!$D$6:$D$29)</f>
        <v>4</v>
      </c>
      <c r="B5" s="29"/>
      <c r="D5" s="30" t="n">
        <f aca="false">IFERROR(AVERAGE(Calculadora!$D$6:$D$29),0)</f>
        <v>20750</v>
      </c>
      <c r="E5" s="30"/>
      <c r="G5" s="30" t="n">
        <f aca="false">SUM(Calculadora!$V$6:$V$29)</f>
        <v>13619.5</v>
      </c>
      <c r="H5" s="30"/>
    </row>
    <row r="7" customFormat="false" ht="30" hidden="false" customHeight="true" outlineLevel="0" collapsed="false">
      <c r="A7" s="28" t="s">
        <v>87</v>
      </c>
      <c r="B7" s="28"/>
      <c r="D7" s="28" t="s">
        <v>88</v>
      </c>
      <c r="E7" s="28"/>
      <c r="G7" s="28" t="s">
        <v>89</v>
      </c>
      <c r="H7" s="28"/>
    </row>
    <row r="8" customFormat="false" ht="33.75" hidden="false" customHeight="true" outlineLevel="0" collapsed="false">
      <c r="A8" s="31" t="n">
        <f aca="false">IFERROR(AVERAGE(Calculadora!$W$6:$W$29),0)</f>
        <v>0.13004375</v>
      </c>
      <c r="B8" s="31"/>
      <c r="D8" s="31" t="n">
        <f aca="false">IFERROR(AVERAGE(Calculadora!$X$6:$X$29),0)</f>
        <v>0.257319263047469</v>
      </c>
      <c r="E8" s="31"/>
      <c r="G8" s="32" t="n">
        <f aca="false">COUNTIFS(Calculadora!$X$6:$X$29,"&lt;0")</f>
        <v>2</v>
      </c>
      <c r="H8" s="32"/>
    </row>
    <row r="10" customFormat="false" ht="19.5" hidden="false" customHeight="true" outlineLevel="0" collapsed="false">
      <c r="A10" s="3" t="s">
        <v>90</v>
      </c>
      <c r="B10" s="3"/>
      <c r="C10" s="3"/>
      <c r="D10" s="3"/>
      <c r="E10" s="3"/>
      <c r="F10" s="3"/>
      <c r="G10" s="3"/>
      <c r="H10" s="3"/>
    </row>
    <row r="11" customFormat="false" ht="15" hidden="false" customHeight="false" outlineLevel="0" collapsed="false">
      <c r="A11" s="33" t="s">
        <v>91</v>
      </c>
      <c r="B11" s="33"/>
      <c r="D11" s="33" t="s">
        <v>92</v>
      </c>
      <c r="E11" s="33"/>
    </row>
    <row r="12" customFormat="false" ht="18" hidden="false" customHeight="true" outlineLevel="0" collapsed="false">
      <c r="A12" s="34" t="str">
        <f aca="false">IFERROR(INDEX(Calculadora!$A$6:$A$29,MATCH(MAX(Calculadora!$X$6:$X$29),Calculadora!$X$6:$X$29,0)),"—")</f>
        <v>EJEMPLO 4 — Producto económico (retiro en persona, sin Mercado Envíos, &lt; $33.000)</v>
      </c>
      <c r="B12" s="34"/>
      <c r="D12" s="34" t="str">
        <f aca="false">IFERROR(INDEX(Calculadora!$A$6:$A$29,MATCH(MIN(Calculadora!$X$6:$X$29),Calculadora!$X$6:$X$29,0)),"—")</f>
        <v>EJEMPLO 3 — Repuesto para auto (sin Full, con envío gratis, &lt; $33.000)</v>
      </c>
      <c r="E12" s="34"/>
    </row>
    <row r="13" customFormat="false" ht="15" hidden="false" customHeight="false" outlineLevel="0" collapsed="false">
      <c r="A13" s="35" t="n">
        <f aca="false">IFERROR(MAX(Calculadora!$X$6:$X$29),0)</f>
        <v>0.632487804878049</v>
      </c>
      <c r="B13" s="35"/>
      <c r="D13" s="35" t="n">
        <f aca="false">IFERROR(MIN(Calculadora!$X$6:$X$29),0)</f>
        <v>-0.0715483870967743</v>
      </c>
      <c r="E13" s="35"/>
    </row>
    <row r="15" customFormat="false" ht="15.75" hidden="false" customHeight="true" outlineLevel="0" collapsed="false">
      <c r="A15" s="2" t="s">
        <v>93</v>
      </c>
      <c r="B15" s="2"/>
      <c r="C15" s="2"/>
      <c r="D15" s="2"/>
      <c r="E15" s="2"/>
      <c r="F15" s="2"/>
      <c r="G15" s="2"/>
      <c r="H15" s="2"/>
    </row>
  </sheetData>
  <mergeCells count="22">
    <mergeCell ref="A1:H1"/>
    <mergeCell ref="A2:H2"/>
    <mergeCell ref="A4:B4"/>
    <mergeCell ref="D4:E4"/>
    <mergeCell ref="G4:H4"/>
    <mergeCell ref="A5:B5"/>
    <mergeCell ref="D5:E5"/>
    <mergeCell ref="G5:H5"/>
    <mergeCell ref="A7:B7"/>
    <mergeCell ref="D7:E7"/>
    <mergeCell ref="G7:H7"/>
    <mergeCell ref="A8:B8"/>
    <mergeCell ref="D8:E8"/>
    <mergeCell ref="G8:H8"/>
    <mergeCell ref="A10:H10"/>
    <mergeCell ref="A11:B11"/>
    <mergeCell ref="D11:E11"/>
    <mergeCell ref="A12:B12"/>
    <mergeCell ref="D12:E12"/>
    <mergeCell ref="A13:B13"/>
    <mergeCell ref="D13:E13"/>
    <mergeCell ref="A15:H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00"/>
  </cols>
  <sheetData>
    <row r="1" customFormat="false" ht="25.5" hidden="false" customHeight="true" outlineLevel="0" collapsed="false">
      <c r="A1" s="36" t="s">
        <v>94</v>
      </c>
    </row>
    <row r="3" customFormat="false" ht="19.5" hidden="false" customHeight="true" outlineLevel="0" collapsed="false">
      <c r="A3" s="37" t="s">
        <v>95</v>
      </c>
    </row>
    <row r="4" customFormat="false" ht="45" hidden="false" customHeight="true" outlineLevel="0" collapsed="false">
      <c r="A4" s="38" t="s">
        <v>96</v>
      </c>
    </row>
    <row r="5" customFormat="false" ht="60" hidden="false" customHeight="true" outlineLevel="0" collapsed="false">
      <c r="A5" s="38" t="s">
        <v>97</v>
      </c>
    </row>
    <row r="6" customFormat="false" ht="30" hidden="false" customHeight="true" outlineLevel="0" collapsed="false">
      <c r="A6" s="38" t="s">
        <v>98</v>
      </c>
    </row>
    <row r="7" customFormat="false" ht="45" hidden="false" customHeight="true" outlineLevel="0" collapsed="false">
      <c r="A7" s="38" t="s">
        <v>99</v>
      </c>
    </row>
    <row r="9" customFormat="false" ht="19.5" hidden="false" customHeight="true" outlineLevel="0" collapsed="false">
      <c r="A9" s="37" t="s">
        <v>100</v>
      </c>
    </row>
    <row r="10" customFormat="false" ht="30" hidden="false" customHeight="true" outlineLevel="0" collapsed="false">
      <c r="A10" s="38" t="s">
        <v>101</v>
      </c>
    </row>
    <row r="11" customFormat="false" ht="45" hidden="false" customHeight="true" outlineLevel="0" collapsed="false">
      <c r="A11" s="38" t="s">
        <v>102</v>
      </c>
    </row>
    <row r="12" customFormat="false" ht="30" hidden="false" customHeight="true" outlineLevel="0" collapsed="false">
      <c r="A12" s="38" t="s">
        <v>103</v>
      </c>
    </row>
    <row r="13" customFormat="false" ht="30" hidden="false" customHeight="true" outlineLevel="0" collapsed="false">
      <c r="A13" s="38" t="s">
        <v>104</v>
      </c>
    </row>
    <row r="14" customFormat="false" ht="30" hidden="false" customHeight="true" outlineLevel="0" collapsed="false">
      <c r="A14" s="38" t="s">
        <v>105</v>
      </c>
    </row>
    <row r="15" customFormat="false" ht="45" hidden="false" customHeight="true" outlineLevel="0" collapsed="false">
      <c r="A15" s="38" t="s">
        <v>106</v>
      </c>
    </row>
    <row r="16" customFormat="false" ht="19.5" hidden="false" customHeight="true" outlineLevel="0" collapsed="false">
      <c r="A16" s="38" t="s">
        <v>107</v>
      </c>
    </row>
    <row r="18" customFormat="false" ht="19.5" hidden="false" customHeight="true" outlineLevel="0" collapsed="false">
      <c r="A18" s="37" t="s">
        <v>108</v>
      </c>
    </row>
    <row r="19" customFormat="false" ht="15" hidden="false" customHeight="true" outlineLevel="0" collapsed="false">
      <c r="A19" s="39" t="s">
        <v>109</v>
      </c>
    </row>
    <row r="20" customFormat="false" ht="15" hidden="false" customHeight="true" outlineLevel="0" collapsed="false">
      <c r="A20" s="39" t="s">
        <v>110</v>
      </c>
    </row>
    <row r="21" customFormat="false" ht="15" hidden="false" customHeight="true" outlineLevel="0" collapsed="false">
      <c r="A21" s="39" t="s">
        <v>111</v>
      </c>
    </row>
    <row r="22" customFormat="false" ht="15" hidden="false" customHeight="true" outlineLevel="0" collapsed="false">
      <c r="A22" s="39" t="s">
        <v>112</v>
      </c>
    </row>
    <row r="23" customFormat="false" ht="15" hidden="false" customHeight="true" outlineLevel="0" collapsed="false">
      <c r="A23" s="39" t="s">
        <v>113</v>
      </c>
    </row>
    <row r="24" customFormat="false" ht="15" hidden="false" customHeight="true" outlineLevel="0" collapsed="false">
      <c r="A24" s="39" t="s">
        <v>114</v>
      </c>
    </row>
    <row r="25" customFormat="false" ht="15" hidden="false" customHeight="true" outlineLevel="0" collapsed="false">
      <c r="A25" s="39" t="s">
        <v>115</v>
      </c>
    </row>
    <row r="26" customFormat="false" ht="15" hidden="false" customHeight="true" outlineLevel="0" collapsed="false">
      <c r="A26" s="39" t="s">
        <v>116</v>
      </c>
    </row>
    <row r="27" customFormat="false" ht="15" hidden="false" customHeight="true" outlineLevel="0" collapsed="false">
      <c r="A27" s="39" t="s">
        <v>117</v>
      </c>
    </row>
    <row r="28" customFormat="false" ht="15" hidden="false" customHeight="true" outlineLevel="0" collapsed="false">
      <c r="A28" s="39" t="s">
        <v>118</v>
      </c>
    </row>
    <row r="29" customFormat="false" ht="15" hidden="false" customHeight="true" outlineLevel="0" collapsed="false">
      <c r="A29" s="39" t="s">
        <v>119</v>
      </c>
    </row>
    <row r="30" customFormat="false" ht="15" hidden="false" customHeight="true" outlineLevel="0" collapsed="false">
      <c r="A30" s="39" t="s">
        <v>120</v>
      </c>
    </row>
    <row r="31" customFormat="false" ht="15" hidden="false" customHeight="true" outlineLevel="0" collapsed="false">
      <c r="A31" s="39" t="s">
        <v>121</v>
      </c>
    </row>
    <row r="32" customFormat="false" ht="15" hidden="false" customHeight="true" outlineLevel="0" collapsed="false">
      <c r="A32" s="39" t="s">
        <v>122</v>
      </c>
    </row>
    <row r="33" customFormat="false" ht="15" hidden="false" customHeight="true" outlineLevel="0" collapsed="false">
      <c r="A33" s="39" t="s">
        <v>123</v>
      </c>
    </row>
    <row r="34" customFormat="false" ht="15" hidden="false" customHeight="true" outlineLevel="0" collapsed="false">
      <c r="A34" s="39" t="s">
        <v>124</v>
      </c>
    </row>
    <row r="36" customFormat="false" ht="30" hidden="false" customHeight="true" outlineLevel="0" collapsed="false">
      <c r="A36" s="38" t="s">
        <v>125</v>
      </c>
    </row>
  </sheetData>
  <hyperlinks>
    <hyperlink ref="A19" r:id="rId1" display="Costos de ofrecer envío gratis — Ayuda oficial Mercado Libre"/>
    <hyperlink ref="A20" r:id="rId2" display="Costo por unidad vendida (Full, correo, colecta, puntos de despacho) — Ayuda oficial Mercado Libre"/>
    <hyperlink ref="A21" r:id="rId3" display="Costos por vender — Mercado Libre Developers"/>
    <hyperlink ref="A22" r:id="rId4" display="Cómo revisar tus costos diarios por almacenar stock en Full — Mercado Libre Vendedores"/>
    <hyperlink ref="A23" r:id="rId5" display="Vender con Full — Mercado Envíos"/>
    <hyperlink ref="A24" r:id="rId6" display="Comisiones MercadoLibre 2026: Tabla por Categoría — SpomBridge"/>
    <hyperlink ref="A25" r:id="rId7" display="Comisiones de Mercado Libre 2026: tabla por categoría y país — Jaguar Sheet"/>
    <hyperlink ref="A26" r:id="rId8" display="Comisiones Mercado Libre 2026: Tabla por Categoría — DigitalSellers"/>
    <hyperlink ref="A27" r:id="rId9" display="¿Cuánto cobra Mercado Libre Argentina por vender? — WooSync"/>
    <hyperlink ref="A28" r:id="rId10" display="¿Cuánto cuesta vender en Mercado Libre en Argentina? — Base"/>
    <hyperlink ref="A29" r:id="rId11" display="Cambios de costos, tarifas y envíos en Mercado Libre Argentina 2025 — Academia Nubimetrics"/>
    <hyperlink ref="A30" r:id="rId12" display="Cuánto cobra realmente Mercado Libre en 2026 (comisiones + IVA) — MargenKit"/>
    <hyperlink ref="A31" r:id="rId13" display="Mercado Libre desde el 12 de marzo: nuevos costos y rentabilidad real — Enretail"/>
    <hyperlink ref="A32" r:id="rId14" display="Cuotas sin interés en Mercado Libre: cuántas vale la pena ofrecer — Base"/>
    <hyperlink ref="A33" r:id="rId15" display="Impuestos en Mercado Libre 2026: Guía Definitiva — Contablix"/>
    <hyperlink ref="A34" r:id="rId16" display="Retenciones y Percepciones en E-commerce Argentina 2026 — Contablix"/>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2026-08-20T00:22:06Z</dcterms:created>
  <dc:creator>openpyxl</dc:creator>
  <dc:description/>
  <dc:language>en-US</dc:language>
  <cp:lastModifiedBy/>
  <dcterms:modified xsi:type="dcterms:W3CDTF">2026-08-20T00:22:07Z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