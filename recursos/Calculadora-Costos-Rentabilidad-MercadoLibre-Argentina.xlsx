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rámetros" sheetId="1" state="visible" r:id="rId3"/>
    <sheet name="Calculadora" sheetId="2" state="visible" r:id="rId4"/>
    <sheet name="Notas y Fuentes" sheetId="3" state="visible" r:id="rId5"/>
  </sheets>
  <definedNames>
    <definedName function="false" hidden="false" name="AlmacenFull" vbProcedure="false">Parámetros!$C$56</definedName>
    <definedName function="false" hidden="false" name="CargoCuotas" vbProcedure="false">Parámetros!$C$47:$C$50</definedName>
    <definedName function="false" hidden="false" name="CatList" vbProcedure="false">Parámetros!$B$6:$B$15</definedName>
    <definedName function="false" hidden="false" name="ComisionClasica" vbProcedure="false">Parámetros!$C$6:$C$15</definedName>
    <definedName function="false" hidden="false" name="ComisionPremium" vbProcedure="false">Parámetros!$D$6:$D$15</definedName>
    <definedName function="false" hidden="false" name="CostoEnvioPeso" vbProcedure="false">Parámetros!$C$31:$C$35</definedName>
    <definedName function="false" hidden="false" name="CostoFijoTramo" vbProcedure="false">Parámetros!$C$24:$C$26</definedName>
    <definedName function="false" hidden="false" name="CuotasList" vbProcedure="false">Parámetros!$B$47:$B$50</definedName>
    <definedName function="false" hidden="false" name="DescuentoFull" vbProcedure="false">Parámetros!$C$40:$C$42</definedName>
    <definedName function="false" hidden="false" name="IIBBParam" vbProcedure="false">Parámetros!$C$55</definedName>
    <definedName function="false" hidden="false" name="IVAParam" vbProcedure="false">Parámetros!$C$54</definedName>
    <definedName function="false" hidden="false" name="ReputacionList" vbProcedure="false">Parámetros!$B$40:$B$42</definedName>
    <definedName function="false" hidden="false" name="TramoPesoDesde" vbProcedure="false">Parámetros!$B$31:$B$35</definedName>
    <definedName function="false" hidden="false" name="TramoPrecioDesde" vbProcedure="false">Parámetros!$B$24:$B$26</definedName>
    <definedName function="false" hidden="false" name="UmbralEnvioGratis" vbProcedure="false">Parámetros!$C$19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<sst xmlns="http://schemas.openxmlformats.org/spreadsheetml/2006/main" count="123" uniqueCount="110">
  <si>
    <t xml:space="preserve">PARÁMETROS — Mercado Libre Argentina (editable)</t>
  </si>
  <si>
    <t xml:space="preserve">Modificá los valores en azul cuando Mercado Libre actualice sus tarifas. Todas las fórmulas de la hoja "Calculadora" recalculan solas. Ver hoja "Notas y Fuentes" para el detalle de cada supuesto.</t>
  </si>
  <si>
    <t xml:space="preserve">1. COMISIÓN POR CATEGORÍA (% sobre precio de venta)</t>
  </si>
  <si>
    <t xml:space="preserve">Categoría</t>
  </si>
  <si>
    <t xml:space="preserve">Comisión Clásica</t>
  </si>
  <si>
    <t xml:space="preserve">Comisión Premium</t>
  </si>
  <si>
    <t xml:space="preserve">Supermercado</t>
  </si>
  <si>
    <t xml:space="preserve">Electrónica, Audio y Video</t>
  </si>
  <si>
    <t xml:space="preserve">Computación</t>
  </si>
  <si>
    <t xml:space="preserve">Celulares y Telefonía</t>
  </si>
  <si>
    <t xml:space="preserve">Accesorios para Vehículos</t>
  </si>
  <si>
    <t xml:space="preserve">Hogar, Muebles y Jardín</t>
  </si>
  <si>
    <t xml:space="preserve">Deportes y Fitness</t>
  </si>
  <si>
    <t xml:space="preserve">Ropa y Calzado</t>
  </si>
  <si>
    <t xml:space="preserve">Herramientas</t>
  </si>
  <si>
    <t xml:space="preserve">Otras categorías (default)</t>
  </si>
  <si>
    <t xml:space="preserve">Fuente: relevamiento de comisiones ML Argentina 2026 (DigitalSellers, SpomBridge, WooSync, Base). Los % exactos varían por sub-categoría y provincia — verificá el % real al publicar tu producto en tu cuenta de ML.</t>
  </si>
  <si>
    <t xml:space="preserve">2. UMBRAL DE ENVÍO GRATIS OBLIGATORIO</t>
  </si>
  <si>
    <t xml:space="preserve">Envío gratis obligatorio desde ($)</t>
  </si>
  <si>
    <t xml:space="preserve">Por debajo de este precio, el vendedor puede elegir si ofrece envío gratis o no. Por encima, Mercado Libre lo exige.</t>
  </si>
  <si>
    <t xml:space="preserve">3. COSTO FIJO POR VENTA — productos por debajo del umbral con envío gratis</t>
  </si>
  <si>
    <t xml:space="preserve">Desde precio ($) ≥</t>
  </si>
  <si>
    <t xml:space="preserve">Costo fijo ($)</t>
  </si>
  <si>
    <t xml:space="preserve">Tramos: hasta $15.000 → $1.100 · $15.000–$25.000 → $2.250 · $25.000–$33.000 → $2.700 (valores orientativos, 2do semestre 2025 / 2026). Desde el 12/03/2026 este costo también depende del peso y las dimensiones del producto — confirmá el valor exacto en tu panel de vendedor (Mercado Envíos &gt; Costos).</t>
  </si>
  <si>
    <t xml:space="preserve">4. COSTO DE ENVÍO POR PESO — Full o productos desde el umbral (envío gratis obligatorio)</t>
  </si>
  <si>
    <t xml:space="preserve">Desde peso (kg) ≥</t>
  </si>
  <si>
    <t xml:space="preserve">Costo de envío ($)</t>
  </si>
  <si>
    <t xml:space="preserve">Mercado Libre NO publica esta tabla de forma oficial (depende de peso real vs. volumétrico, distancia y transportista). Son valores estimados de mercado — ajustalos con lo que veas reflejado en tus liquidaciones/facturación real de Mercado Envíos.</t>
  </si>
  <si>
    <t xml:space="preserve">5. DESCUENTO EN ENVÍO POR USAR FULL (según reputación)</t>
  </si>
  <si>
    <t xml:space="preserve">Reputación</t>
  </si>
  <si>
    <t xml:space="preserve">Descuento sobre costo de envío</t>
  </si>
  <si>
    <t xml:space="preserve">MercadoLíder / Reputación verde</t>
  </si>
  <si>
    <t xml:space="preserve">Reputación amarilla / Sin reputación</t>
  </si>
  <si>
    <t xml:space="preserve">Reputación roja / Otras</t>
  </si>
  <si>
    <t xml:space="preserve">Bonificación de Mercado Libre para vendedores que despachan con Mercado Envíos Full, según su nivel de reputación.</t>
  </si>
  <si>
    <t xml:space="preserve">6. CARGO POR CUOTAS SIN INTERÉS OFRECIDAS</t>
  </si>
  <si>
    <t xml:space="preserve">Cuotas ofrecidas</t>
  </si>
  <si>
    <t xml:space="preserve">Cargo (% sobre precio)</t>
  </si>
  <si>
    <t xml:space="preserve">3 y 6 cuotas confirmados por relevamiento 2026. El valor de 12 cuotas es una ESTIMACIÓN (no confirmada) — reemplazalo por el % real que veas al publicar.</t>
  </si>
  <si>
    <t xml:space="preserve">7. OTROS PARÁMETROS GENERALES</t>
  </si>
  <si>
    <t xml:space="preserve">IVA sobre comisión + costo fijo/envío + cargo cuotas</t>
  </si>
  <si>
    <t xml:space="preserve">% Percepción IIBB (informativo, default ARBA)</t>
  </si>
  <si>
    <t xml:space="preserve">Costo almacenamiento Full por unidad / mes (estimado)</t>
  </si>
  <si>
    <t xml:space="preserve">IIBB: es una percepción/anticipo de impuesto (ARCA/rentas provinciales), NO un costo real — se descuenta de tu liquidación pero se recupera como crédito fiscal. Se muestra en la Calculadora solo a modo informativo (columna T) y NO se resta en Margen ni Rentabilidad. Almacenamiento Full: costo diario real depende del tamaño del producto y no es público — este es un promedio mensual estimado, ajustalo con tus liquidaciones.</t>
  </si>
  <si>
    <t xml:space="preserve">CALCULADORA DE COSTOS, MARGEN Y RENTABILIDAD — MERCADO LIBRE ARGENTINA</t>
  </si>
  <si>
    <t xml:space="preserve">Completá una fila por publicación/venta. Cubre las 4 combinaciones: Full con envío gratis, Mercado Envíos sin Full con envío gratis, envío a cargo del comprador (sin envío gratis), precio por debajo y por encima de los $33.000 (umbral de envío gratis obligatorio). Los valores de tarifas se editan en la hoja "Parámetros".</t>
  </si>
  <si>
    <t xml:space="preserve">Filas 6-9 (fondo naranja) = 4 ejemplos resueltos, no las borres. Filas 10 en adelante = tus productos. Azul = dato que completás vos · Negro = fórmula, no tocar · Verde/rojo en Margen y Rentabilidad = referencia visual.</t>
  </si>
  <si>
    <t xml:space="preserve">SKU / Producto</t>
  </si>
  <si>
    <t xml:space="preserve">Tipo publicación</t>
  </si>
  <si>
    <t xml:space="preserve">Precio de venta ($)</t>
  </si>
  <si>
    <t xml:space="preserve">Costo del producto ($)</t>
  </si>
  <si>
    <t xml:space="preserve">Otros costos directos ($)</t>
  </si>
  <si>
    <t xml:space="preserve">Peso (kg)</t>
  </si>
  <si>
    <t xml:space="preserve">Modalidad de envío</t>
  </si>
  <si>
    <t xml:space="preserve">¿Envío gratis?</t>
  </si>
  <si>
    <t xml:space="preserve">Reputación (si es Full)</t>
  </si>
  <si>
    <t xml:space="preserve">Cuotas sin interés</t>
  </si>
  <si>
    <t xml:space="preserve">% Comisión</t>
  </si>
  <si>
    <t xml:space="preserve">Comisión ($)</t>
  </si>
  <si>
    <t xml:space="preserve">Costo fijo / envío ($)</t>
  </si>
  <si>
    <t xml:space="preserve">Cargo cuotas ($)</t>
  </si>
  <si>
    <t xml:space="preserve">Subtotal costos ML (sin IVA)</t>
  </si>
  <si>
    <t xml:space="preserve">IVA s/ costos ML</t>
  </si>
  <si>
    <t xml:space="preserve">Almacenamiento Full ($)</t>
  </si>
  <si>
    <t xml:space="preserve">Total costos ML ($)</t>
  </si>
  <si>
    <t xml:space="preserve">Percepción IIBB (informativo)</t>
  </si>
  <si>
    <t xml:space="preserve">Ingreso neto recibido ($)</t>
  </si>
  <si>
    <t xml:space="preserve">Ganancia ($)</t>
  </si>
  <si>
    <t xml:space="preserve">Margen s/ precio (%)</t>
  </si>
  <si>
    <t xml:space="preserve">Rentabilidad s/ costo (%)</t>
  </si>
  <si>
    <t xml:space="preserve">EJEMPLO 1 — Zapatillas urbanas (Full, envío gratis, ≥ $33.000)</t>
  </si>
  <si>
    <t xml:space="preserve">Clásica</t>
  </si>
  <si>
    <t xml:space="preserve">Full</t>
  </si>
  <si>
    <t xml:space="preserve">Sí</t>
  </si>
  <si>
    <t xml:space="preserve">EJEMPLO 2 — Auricular Bluetooth (Full, envío gratis, &lt; $33.000)</t>
  </si>
  <si>
    <t xml:space="preserve">EJEMPLO 3 — Repuesto para auto (sin Full, con envío gratis, &lt; $33.000)</t>
  </si>
  <si>
    <t xml:space="preserve">Mercado Envíos (sin Full)</t>
  </si>
  <si>
    <t xml:space="preserve">EJEMPLO 4 — Producto económico (envío a cargo del comprador, &lt; $33.000)</t>
  </si>
  <si>
    <t xml:space="preserve">Retiro en punto/sucursal (sin envío)</t>
  </si>
  <si>
    <t xml:space="preserve">No</t>
  </si>
  <si>
    <t xml:space="preserve">NOTAS, SUPUESTOS Y FUENTES</t>
  </si>
  <si>
    <t xml:space="preserve">Cómo está armado este archivo</t>
  </si>
  <si>
    <t xml:space="preserve">• Hoja "Parámetros": todas las tarifas de Mercado Libre editables en un solo lugar (comisión por categoría, costo fijo por tramo de precio, costo de envío por peso, descuento Full, cargo por cuotas, IVA, IIBB, almacenamiento Full).</t>
  </si>
  <si>
    <t xml:space="preserve">• Hoja "Calculadora": una fila por publicación/venta. Filas 6-9 son 4 ejemplos resueltos que cubren los 4 escenarios pedidos: venta Full con envío gratis, venta sin Full con envío gratis, venta con envío a cargo del comprador, y precios por encima/por debajo de $33.000. Desde la fila 10 podés cargar tus propios productos.</t>
  </si>
  <si>
    <t xml:space="preserve">• Margen = Ganancia / Precio de venta. Rentabilidad = Ganancia / (Costo del producto + otros costos directos). Son dos métricas distintas a propósito: el margen te dice qué % del precio te queda, la rentabilidad te dice cuánto ganás en relación a lo que invertiste.</t>
  </si>
  <si>
    <t xml:space="preserve">Supuestos importantes (revisar antes de tomar decisiones de precio)</t>
  </si>
  <si>
    <t xml:space="preserve">1. Los % de comisión por categoría varían según sub-categoría, provincia y tipo de publicación. Los valores de la hoja Parámetros son un promedio de mercado 2026 — Mercado Libre te muestra el % exacto cuando publicás el producto; usá ese valor real.</t>
  </si>
  <si>
    <t xml:space="preserve">2. El costo fijo por venta (productos &lt; $33.000) depende, desde el 12/03/2026, también del peso y las dimensiones del producto, no solo del precio. Esta planilla simplifica usando 3 tramos de precio — ajustalos si tus productos son muy pesados/voluminosos para su rango de precio.</t>
  </si>
  <si>
    <t xml:space="preserve">3. La tabla de costo de envío por peso (Full / precio ≥ $33.000) NO es información pública de Mercado Libre — son valores estimados de mercado. Reemplazalos por los valores reales que veas en tus liquidaciones (Mercado Envíos &gt; Costos, o tu resumen de cuenta).</t>
  </si>
  <si>
    <t xml:space="preserve">4. El costo de almacenamiento Full es un promedio mensual estimado por unidad. El costo real es diario y depende del tamaño/volumen del producto — ajustalo con tu panel de Fulfillment (vendedores.mercadolibre.com.ar).</t>
  </si>
  <si>
    <t xml:space="preserve">5. La percepción de IIBB (informativo, columna T de la Calculadora) es un anticipo de impuesto, no un costo definitivo: se recupera como crédito fiscal en tu DDJJ de Ingresos Brutos. Por eso no se resta en Margen ni en Rentabilidad. Si sos Monotributista, normalmente no te retienen IIBB ni podés tomar el IVA como crédito — en ese caso poné 0% en Parámetros!C55 y considerá el IVA como costo real ajustando Parámetros!C54 según corresponda a tu condición fiscal.</t>
  </si>
  <si>
    <t xml:space="preserve">6. El cargo de 12 cuotas sin interés (Parámetros, fila 50) es una estimación no confirmada por fuentes públicas — reemplazalo por el valor real que te muestre Mercado Libre al activar cuotas.</t>
  </si>
  <si>
    <t xml:space="preserve">Fuentes consultadas (julio 2026)</t>
  </si>
  <si>
    <t xml:space="preserve">Costos de ofrecer envío gratis — Ayuda oficial Mercado Libre</t>
  </si>
  <si>
    <t xml:space="preserve">Costo por unidad vendida (Full, correo, colecta, puntos de despacho) — Ayuda oficial Mercado Libre</t>
  </si>
  <si>
    <t xml:space="preserve">Costos por vender — Mercado Libre Developers</t>
  </si>
  <si>
    <t xml:space="preserve">Cómo revisar tus costos diarios por almacenar stock en Full — Mercado Libre Vendedores</t>
  </si>
  <si>
    <t xml:space="preserve">Vender con Full — Mercado Envíos</t>
  </si>
  <si>
    <t xml:space="preserve">Comisiones MercadoLibre 2026: Tabla por Categoría — SpomBridge</t>
  </si>
  <si>
    <t xml:space="preserve">Comisiones de Mercado Libre 2026: tabla por categoría y país — Jaguar Sheet</t>
  </si>
  <si>
    <t xml:space="preserve">Comisiones Mercado Libre 2026: Tabla por Categoría — DigitalSellers</t>
  </si>
  <si>
    <t xml:space="preserve">¿Cuánto cobra Mercado Libre Argentina por vender? — WooSync</t>
  </si>
  <si>
    <t xml:space="preserve">¿Cuánto cuesta vender en Mercado Libre en Argentina? — Base</t>
  </si>
  <si>
    <t xml:space="preserve">Cambios de costos, tarifas y envíos en Mercado Libre Argentina 2025 — Academia Nubimetrics</t>
  </si>
  <si>
    <t xml:space="preserve">Cuánto cobra realmente Mercado Libre en 2026 (comisiones + IVA) — MargenKit</t>
  </si>
  <si>
    <t xml:space="preserve">Mercado Libre desde el 12 de marzo: nuevos costos y rentabilidad real — Enretail</t>
  </si>
  <si>
    <t xml:space="preserve">Cuotas sin interés en Mercado Libre: cuántas vale la pena ofrecer — Base</t>
  </si>
  <si>
    <t xml:space="preserve">Impuestos en Mercado Libre 2026: Guía Definitiva — Contablix</t>
  </si>
  <si>
    <t xml:space="preserve">Retenciones y Percepciones en E-commerce Argentina 2026 — Contablix</t>
  </si>
  <si>
    <t xml:space="preserve">Estos son artículos de terceros (agencias/consultoras de e-commerce) y páginas de ayuda oficiales de Mercado Libre, relevados en julio de 2026. Mercado Libre actualiza tarifas con frecuencia (la última suba de comisiones fue en marzo de 2026) — antes de fijar precios, comprobá los valores vigentes en tu cuenta de vendedor.</t>
  </si>
</sst>
</file>

<file path=xl/styles.xml><?xml version="1.0" encoding="utf-8"?>
<styleSheet xmlns="http://schemas.openxmlformats.org/spreadsheetml/2006/main">
  <numFmts count="7">
    <numFmt numFmtId="164" formatCode="General"/>
    <numFmt numFmtId="165" formatCode="0.00%"/>
    <numFmt numFmtId="166" formatCode="\$#,##0"/>
    <numFmt numFmtId="167" formatCode="\$#,##0.00"/>
    <numFmt numFmtId="168" formatCode="0.00"/>
    <numFmt numFmtId="169" formatCode="0%"/>
    <numFmt numFmtId="170" formatCode="0.0%"/>
  </numFmts>
  <fonts count="1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666666"/>
      <name val="Arial"/>
      <family val="0"/>
      <charset val="1"/>
    </font>
    <font>
      <b val="true"/>
      <sz val="11"/>
      <color rgb="FFFFFFFF"/>
      <name val="Arial"/>
      <family val="0"/>
      <charset val="1"/>
    </font>
    <font>
      <b val="true"/>
      <sz val="11"/>
      <name val="Arial"/>
      <family val="0"/>
      <charset val="1"/>
    </font>
    <font>
      <sz val="11"/>
      <color rgb="FF0000FF"/>
      <name val="Arial"/>
      <family val="0"/>
      <charset val="1"/>
    </font>
    <font>
      <sz val="11"/>
      <color rgb="FF000000"/>
      <name val="Arial"/>
      <family val="0"/>
      <charset val="1"/>
    </font>
    <font>
      <b val="true"/>
      <sz val="11"/>
      <color rgb="FF0000FF"/>
      <name val="Arial"/>
      <family val="0"/>
      <charset val="1"/>
    </font>
    <font>
      <i val="true"/>
      <sz val="9"/>
      <color rgb="FFC55A11"/>
      <name val="Arial"/>
      <family val="0"/>
      <charset val="1"/>
    </font>
    <font>
      <i val="true"/>
      <sz val="11"/>
      <color rgb="FF000000"/>
      <name val="Arial"/>
      <family val="0"/>
      <charset val="1"/>
    </font>
    <font>
      <sz val="10"/>
      <color rgb="FF000000"/>
      <name val="Arial"/>
      <family val="0"/>
      <charset val="1"/>
    </font>
    <font>
      <u val="single"/>
      <sz val="10"/>
      <color rgb="FF0563C1"/>
      <name val="Arial"/>
      <family val="0"/>
      <charset val="1"/>
    </font>
  </fonts>
  <fills count="7">
    <fill>
      <patternFill patternType="none"/>
    </fill>
    <fill>
      <patternFill patternType="gray125"/>
    </fill>
    <fill>
      <patternFill patternType="solid">
        <fgColor rgb="FF203864"/>
        <bgColor rgb="FF333333"/>
      </patternFill>
    </fill>
    <fill>
      <patternFill patternType="solid">
        <fgColor rgb="FF2E75B6"/>
        <bgColor rgb="FF0563C1"/>
      </patternFill>
    </fill>
    <fill>
      <patternFill patternType="solid">
        <fgColor rgb="FFD9E1F2"/>
        <bgColor rgb="FFFCE4D6"/>
      </patternFill>
    </fill>
    <fill>
      <patternFill patternType="solid">
        <fgColor rgb="FFFFFF00"/>
        <bgColor rgb="FFFFFF00"/>
      </patternFill>
    </fill>
    <fill>
      <patternFill patternType="solid">
        <fgColor rgb="FFFCE4D6"/>
        <bgColor rgb="FFD9E1F2"/>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68" fontId="8" fillId="6" borderId="1" xfId="0" applyFont="true" applyBorder="true" applyAlignment="false" applyProtection="false">
      <alignment horizontal="general" vertical="bottom" textRotation="0" wrapText="false" indent="0" shrinkToFit="false"/>
      <protection locked="true" hidden="false"/>
    </xf>
    <xf numFmtId="165" fontId="0" fillId="6" borderId="1" xfId="0" applyFont="false" applyBorder="true" applyAlignment="false" applyProtection="false">
      <alignment horizontal="general" vertical="bottom" textRotation="0" wrapText="false" indent="0" shrinkToFit="false"/>
      <protection locked="true" hidden="false"/>
    </xf>
    <xf numFmtId="166" fontId="0" fillId="6" borderId="1" xfId="0" applyFont="false" applyBorder="true" applyAlignment="false" applyProtection="false">
      <alignment horizontal="general" vertical="bottom" textRotation="0" wrapText="false" indent="0" shrinkToFit="false"/>
      <protection locked="true" hidden="false"/>
    </xf>
    <xf numFmtId="170" fontId="0" fillId="6" borderId="1" xfId="0" applyFont="fals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CE4D6"/>
      <rgbColor rgb="FFCCFFFF"/>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C55A11"/>
      <rgbColor rgb="FF666666"/>
      <rgbColor rgb="FF969696"/>
      <rgbColor rgb="FF20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www.mercadolibre.com.ar/ayuda/costos-envios-gratis_3482" TargetMode="External"/><Relationship Id="rId2" Type="http://schemas.openxmlformats.org/officeDocument/2006/relationships/hyperlink" Target="https://www.mercadolibre.com.ar/ayuda/cambios-costos-venta_42400" TargetMode="External"/><Relationship Id="rId3" Type="http://schemas.openxmlformats.org/officeDocument/2006/relationships/hyperlink" Target="https://developers.mercadolibre.com.ar/comision-por-vender" TargetMode="External"/><Relationship Id="rId4" Type="http://schemas.openxmlformats.org/officeDocument/2006/relationships/hyperlink" Target="https://vendedores.mercadolibre.com.ar/nota/como-revisar-tus-costos-diarios-por-almacenar-stock-en-full" TargetMode="External"/><Relationship Id="rId5" Type="http://schemas.openxmlformats.org/officeDocument/2006/relationships/hyperlink" Target="https://envios.mercadolibre.com.ar/mercado-envios-full" TargetMode="External"/><Relationship Id="rId6" Type="http://schemas.openxmlformats.org/officeDocument/2006/relationships/hyperlink" Target="https://app.spomsolutions.com/blog/comisiones-mercadolibre-guia-2026" TargetMode="External"/><Relationship Id="rId7" Type="http://schemas.openxmlformats.org/officeDocument/2006/relationships/hyperlink" Target="https://jaguarsheet.com/es/blog/comisiones-mercado-libre" TargetMode="External"/><Relationship Id="rId8" Type="http://schemas.openxmlformats.org/officeDocument/2006/relationships/hyperlink" Target="https://digitalsellers.com.ar/blog/comisiones-mercado-libre/" TargetMode="External"/><Relationship Id="rId9" Type="http://schemas.openxmlformats.org/officeDocument/2006/relationships/hyperlink" Target="https://mail.woosync.io/blog/cuanto-cobra-mercado-libre-argentina-por-vender-precios-actualizados/" TargetMode="External"/><Relationship Id="rId10" Type="http://schemas.openxmlformats.org/officeDocument/2006/relationships/hyperlink" Target="https://base.com/es-AR/blog/costos-ventas-mercado-libre-argentina/" TargetMode="External"/><Relationship Id="rId11" Type="http://schemas.openxmlformats.org/officeDocument/2006/relationships/hyperlink" Target="https://academia.nubimetrics.com/cambios-mercado-libre-argentina" TargetMode="External"/><Relationship Id="rId12" Type="http://schemas.openxmlformats.org/officeDocument/2006/relationships/hyperlink" Target="https://margenkit.nektool.com/blog/comisiones-mercado-libre-2026" TargetMode="External"/><Relationship Id="rId13" Type="http://schemas.openxmlformats.org/officeDocument/2006/relationships/hyperlink" Target="https://www.enretail.com/2026/03/11/mercado-libre-desde-el-12-de-marzo-nuevos-costos-canal-mayorista-y-rentabilidad-real/" TargetMode="External"/><Relationship Id="rId14" Type="http://schemas.openxmlformats.org/officeDocument/2006/relationships/hyperlink" Target="https://base.com/es-AR/blog/cuotas-sin-interes-mercado-libre/" TargetMode="External"/><Relationship Id="rId15" Type="http://schemas.openxmlformats.org/officeDocument/2006/relationships/hyperlink" Target="https://contablix.ar/blog/impuestos-mercado-libre-2026-guia-definitiva" TargetMode="External"/><Relationship Id="rId16" Type="http://schemas.openxmlformats.org/officeDocument/2006/relationships/hyperlink" Target="https://contablix.ar/blog/retenciones-percepciones-ecommerce-argentina-20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5" min="3" style="0" width="16"/>
    <col collapsed="false" customWidth="true" hidden="false" outlineLevel="0" max="6" min="6" style="0" width="60"/>
  </cols>
  <sheetData>
    <row r="1" customFormat="false" ht="25.5" hidden="false" customHeight="true" outlineLevel="0" collapsed="false">
      <c r="A1" s="1" t="s">
        <v>0</v>
      </c>
      <c r="B1" s="1"/>
      <c r="C1" s="1"/>
      <c r="D1" s="1"/>
      <c r="E1" s="1"/>
      <c r="F1" s="1"/>
    </row>
    <row r="2" customFormat="false" ht="27.75" hidden="false" customHeight="true" outlineLevel="0" collapsed="false">
      <c r="A2" s="2" t="s">
        <v>1</v>
      </c>
      <c r="B2" s="2"/>
      <c r="C2" s="2"/>
      <c r="D2" s="2"/>
      <c r="E2" s="2"/>
      <c r="F2" s="2"/>
    </row>
    <row r="4" customFormat="false" ht="19.5" hidden="false" customHeight="true" outlineLevel="0" collapsed="false">
      <c r="A4" s="3" t="s">
        <v>2</v>
      </c>
      <c r="B4" s="3"/>
      <c r="C4" s="3"/>
      <c r="D4" s="3"/>
      <c r="E4" s="3"/>
      <c r="F4" s="3"/>
    </row>
    <row r="5" customFormat="false" ht="15" hidden="false" customHeight="false" outlineLevel="0" collapsed="false">
      <c r="B5" s="4" t="s">
        <v>3</v>
      </c>
      <c r="C5" s="4" t="s">
        <v>4</v>
      </c>
      <c r="D5" s="4" t="s">
        <v>5</v>
      </c>
    </row>
    <row r="6" customFormat="false" ht="15" hidden="false" customHeight="false" outlineLevel="0" collapsed="false">
      <c r="B6" s="5" t="s">
        <v>6</v>
      </c>
      <c r="C6" s="6" t="n">
        <v>0.118</v>
      </c>
      <c r="D6" s="6" t="n">
        <v>0.148</v>
      </c>
    </row>
    <row r="7" customFormat="false" ht="15" hidden="false" customHeight="false" outlineLevel="0" collapsed="false">
      <c r="B7" s="5" t="s">
        <v>7</v>
      </c>
      <c r="C7" s="6" t="n">
        <v>0.15</v>
      </c>
      <c r="D7" s="6" t="n">
        <v>0.1714</v>
      </c>
    </row>
    <row r="8" customFormat="false" ht="15" hidden="false" customHeight="false" outlineLevel="0" collapsed="false">
      <c r="B8" s="5" t="s">
        <v>8</v>
      </c>
      <c r="C8" s="6" t="n">
        <v>0.15</v>
      </c>
      <c r="D8" s="6" t="n">
        <v>0.1714</v>
      </c>
    </row>
    <row r="9" customFormat="false" ht="15" hidden="false" customHeight="false" outlineLevel="0" collapsed="false">
      <c r="B9" s="5" t="s">
        <v>9</v>
      </c>
      <c r="C9" s="6" t="n">
        <v>0.14</v>
      </c>
      <c r="D9" s="6" t="n">
        <v>0.165</v>
      </c>
    </row>
    <row r="10" customFormat="false" ht="15" hidden="false" customHeight="false" outlineLevel="0" collapsed="false">
      <c r="B10" s="5" t="s">
        <v>10</v>
      </c>
      <c r="C10" s="6" t="n">
        <v>0.13</v>
      </c>
      <c r="D10" s="6" t="n">
        <v>0.16</v>
      </c>
    </row>
    <row r="11" customFormat="false" ht="15" hidden="false" customHeight="false" outlineLevel="0" collapsed="false">
      <c r="B11" s="5" t="s">
        <v>11</v>
      </c>
      <c r="C11" s="6" t="n">
        <v>0.135</v>
      </c>
      <c r="D11" s="6" t="n">
        <v>0.16</v>
      </c>
    </row>
    <row r="12" customFormat="false" ht="15" hidden="false" customHeight="false" outlineLevel="0" collapsed="false">
      <c r="B12" s="5" t="s">
        <v>12</v>
      </c>
      <c r="C12" s="6" t="n">
        <v>0.135</v>
      </c>
      <c r="D12" s="6" t="n">
        <v>0.16</v>
      </c>
    </row>
    <row r="13" customFormat="false" ht="15" hidden="false" customHeight="false" outlineLevel="0" collapsed="false">
      <c r="B13" s="5" t="s">
        <v>13</v>
      </c>
      <c r="C13" s="6" t="n">
        <v>0.135</v>
      </c>
      <c r="D13" s="6" t="n">
        <v>0.16</v>
      </c>
    </row>
    <row r="14" customFormat="false" ht="15" hidden="false" customHeight="false" outlineLevel="0" collapsed="false">
      <c r="B14" s="5" t="s">
        <v>14</v>
      </c>
      <c r="C14" s="6" t="n">
        <v>0.135</v>
      </c>
      <c r="D14" s="6" t="n">
        <v>0.16</v>
      </c>
    </row>
    <row r="15" customFormat="false" ht="15" hidden="false" customHeight="false" outlineLevel="0" collapsed="false">
      <c r="B15" s="5" t="s">
        <v>15</v>
      </c>
      <c r="C15" s="6" t="n">
        <v>0.135</v>
      </c>
      <c r="D15" s="6" t="n">
        <v>0.165</v>
      </c>
    </row>
    <row r="16" customFormat="false" ht="15" hidden="false" customHeight="true" outlineLevel="0" collapsed="false">
      <c r="A16" s="2" t="s">
        <v>16</v>
      </c>
      <c r="B16" s="2"/>
      <c r="C16" s="2"/>
      <c r="D16" s="2"/>
      <c r="E16" s="2"/>
      <c r="F16" s="2"/>
    </row>
    <row r="18" customFormat="false" ht="19.5" hidden="false" customHeight="true" outlineLevel="0" collapsed="false">
      <c r="A18" s="3" t="s">
        <v>17</v>
      </c>
      <c r="B18" s="3"/>
      <c r="C18" s="3"/>
      <c r="D18" s="3"/>
      <c r="E18" s="3"/>
      <c r="F18" s="3"/>
    </row>
    <row r="19" customFormat="false" ht="15" hidden="false" customHeight="false" outlineLevel="0" collapsed="false">
      <c r="B19" s="7" t="s">
        <v>18</v>
      </c>
      <c r="C19" s="8" t="n">
        <v>33000</v>
      </c>
    </row>
    <row r="20" customFormat="false" ht="15" hidden="false" customHeight="true" outlineLevel="0" collapsed="false">
      <c r="A20" s="2" t="s">
        <v>19</v>
      </c>
      <c r="B20" s="2"/>
      <c r="C20" s="2"/>
      <c r="D20" s="2"/>
      <c r="E20" s="2"/>
      <c r="F20" s="2"/>
    </row>
    <row r="22" customFormat="false" ht="19.5" hidden="false" customHeight="true" outlineLevel="0" collapsed="false">
      <c r="A22" s="3" t="s">
        <v>20</v>
      </c>
      <c r="B22" s="3"/>
      <c r="C22" s="3"/>
      <c r="D22" s="3"/>
      <c r="E22" s="3"/>
      <c r="F22" s="3"/>
    </row>
    <row r="23" customFormat="false" ht="15" hidden="false" customHeight="false" outlineLevel="0" collapsed="false">
      <c r="B23" s="4" t="s">
        <v>21</v>
      </c>
      <c r="C23" s="4" t="s">
        <v>22</v>
      </c>
    </row>
    <row r="24" customFormat="false" ht="15" hidden="false" customHeight="false" outlineLevel="0" collapsed="false">
      <c r="B24" s="9" t="n">
        <v>0</v>
      </c>
      <c r="C24" s="10" t="n">
        <v>1100</v>
      </c>
    </row>
    <row r="25" customFormat="false" ht="15" hidden="false" customHeight="false" outlineLevel="0" collapsed="false">
      <c r="B25" s="9" t="n">
        <v>15000.01</v>
      </c>
      <c r="C25" s="10" t="n">
        <v>2250</v>
      </c>
    </row>
    <row r="26" customFormat="false" ht="15" hidden="false" customHeight="false" outlineLevel="0" collapsed="false">
      <c r="B26" s="9" t="n">
        <v>25000.01</v>
      </c>
      <c r="C26" s="10" t="n">
        <v>2700</v>
      </c>
    </row>
    <row r="27" customFormat="false" ht="22.35" hidden="false" customHeight="true" outlineLevel="0" collapsed="false">
      <c r="A27" s="2" t="s">
        <v>23</v>
      </c>
      <c r="B27" s="2"/>
      <c r="C27" s="2"/>
      <c r="D27" s="2"/>
      <c r="E27" s="2"/>
      <c r="F27" s="2"/>
    </row>
    <row r="29" customFormat="false" ht="19.5" hidden="false" customHeight="true" outlineLevel="0" collapsed="false">
      <c r="A29" s="3" t="s">
        <v>24</v>
      </c>
      <c r="B29" s="3"/>
      <c r="C29" s="3"/>
      <c r="D29" s="3"/>
      <c r="E29" s="3"/>
      <c r="F29" s="3"/>
    </row>
    <row r="30" customFormat="false" ht="15" hidden="false" customHeight="false" outlineLevel="0" collapsed="false">
      <c r="B30" s="4" t="s">
        <v>25</v>
      </c>
      <c r="C30" s="4" t="s">
        <v>26</v>
      </c>
    </row>
    <row r="31" customFormat="false" ht="15" hidden="false" customHeight="false" outlineLevel="0" collapsed="false">
      <c r="B31" s="11" t="n">
        <v>0</v>
      </c>
      <c r="C31" s="10" t="n">
        <v>2500</v>
      </c>
    </row>
    <row r="32" customFormat="false" ht="15" hidden="false" customHeight="false" outlineLevel="0" collapsed="false">
      <c r="B32" s="11" t="n">
        <v>1.01</v>
      </c>
      <c r="C32" s="10" t="n">
        <v>4500</v>
      </c>
    </row>
    <row r="33" customFormat="false" ht="15" hidden="false" customHeight="false" outlineLevel="0" collapsed="false">
      <c r="B33" s="11" t="n">
        <v>5.01</v>
      </c>
      <c r="C33" s="10" t="n">
        <v>7500</v>
      </c>
    </row>
    <row r="34" customFormat="false" ht="15" hidden="false" customHeight="false" outlineLevel="0" collapsed="false">
      <c r="B34" s="11" t="n">
        <v>10.01</v>
      </c>
      <c r="C34" s="10" t="n">
        <v>11000</v>
      </c>
    </row>
    <row r="35" customFormat="false" ht="15" hidden="false" customHeight="false" outlineLevel="0" collapsed="false">
      <c r="B35" s="11" t="n">
        <v>20.01</v>
      </c>
      <c r="C35" s="10" t="n">
        <v>15500</v>
      </c>
    </row>
    <row r="36" customFormat="false" ht="22.35" hidden="false" customHeight="true" outlineLevel="0" collapsed="false">
      <c r="A36" s="2" t="s">
        <v>27</v>
      </c>
      <c r="B36" s="2"/>
      <c r="C36" s="2"/>
      <c r="D36" s="2"/>
      <c r="E36" s="2"/>
      <c r="F36" s="2"/>
    </row>
    <row r="38" customFormat="false" ht="19.5" hidden="false" customHeight="true" outlineLevel="0" collapsed="false">
      <c r="A38" s="3" t="s">
        <v>28</v>
      </c>
      <c r="B38" s="3"/>
      <c r="C38" s="3"/>
      <c r="D38" s="3"/>
      <c r="E38" s="3"/>
      <c r="F38" s="3"/>
    </row>
    <row r="39" customFormat="false" ht="15" hidden="false" customHeight="false" outlineLevel="0" collapsed="false">
      <c r="B39" s="4" t="s">
        <v>29</v>
      </c>
      <c r="C39" s="4" t="s">
        <v>30</v>
      </c>
    </row>
    <row r="40" customFormat="false" ht="15" hidden="false" customHeight="false" outlineLevel="0" collapsed="false">
      <c r="B40" s="5" t="s">
        <v>31</v>
      </c>
      <c r="C40" s="12" t="n">
        <v>0.5</v>
      </c>
    </row>
    <row r="41" customFormat="false" ht="15" hidden="false" customHeight="false" outlineLevel="0" collapsed="false">
      <c r="B41" s="5" t="s">
        <v>32</v>
      </c>
      <c r="C41" s="12" t="n">
        <v>0.4</v>
      </c>
    </row>
    <row r="42" customFormat="false" ht="15" hidden="false" customHeight="false" outlineLevel="0" collapsed="false">
      <c r="B42" s="5" t="s">
        <v>33</v>
      </c>
      <c r="C42" s="12" t="n">
        <v>0</v>
      </c>
    </row>
    <row r="43" customFormat="false" ht="15" hidden="false" customHeight="true" outlineLevel="0" collapsed="false">
      <c r="A43" s="2" t="s">
        <v>34</v>
      </c>
      <c r="B43" s="2"/>
      <c r="C43" s="2"/>
      <c r="D43" s="2"/>
      <c r="E43" s="2"/>
      <c r="F43" s="2"/>
    </row>
    <row r="45" customFormat="false" ht="19.5" hidden="false" customHeight="true" outlineLevel="0" collapsed="false">
      <c r="A45" s="3" t="s">
        <v>35</v>
      </c>
      <c r="B45" s="3"/>
      <c r="C45" s="3"/>
      <c r="D45" s="3"/>
      <c r="E45" s="3"/>
      <c r="F45" s="3"/>
    </row>
    <row r="46" customFormat="false" ht="15" hidden="false" customHeight="false" outlineLevel="0" collapsed="false">
      <c r="B46" s="4" t="s">
        <v>36</v>
      </c>
      <c r="C46" s="4" t="s">
        <v>37</v>
      </c>
    </row>
    <row r="47" customFormat="false" ht="15" hidden="false" customHeight="false" outlineLevel="0" collapsed="false">
      <c r="B47" s="5" t="n">
        <v>0</v>
      </c>
      <c r="C47" s="6" t="n">
        <v>0</v>
      </c>
    </row>
    <row r="48" customFormat="false" ht="15" hidden="false" customHeight="false" outlineLevel="0" collapsed="false">
      <c r="B48" s="5" t="n">
        <v>3</v>
      </c>
      <c r="C48" s="6" t="n">
        <v>0.0575</v>
      </c>
    </row>
    <row r="49" customFormat="false" ht="15" hidden="false" customHeight="false" outlineLevel="0" collapsed="false">
      <c r="B49" s="5" t="n">
        <v>6</v>
      </c>
      <c r="C49" s="6" t="n">
        <v>0.1075</v>
      </c>
    </row>
    <row r="50" customFormat="false" ht="15" hidden="false" customHeight="false" outlineLevel="0" collapsed="false">
      <c r="B50" s="5" t="n">
        <v>12</v>
      </c>
      <c r="C50" s="6" t="n">
        <v>0.18</v>
      </c>
    </row>
    <row r="51" customFormat="false" ht="15" hidden="false" customHeight="true" outlineLevel="0" collapsed="false">
      <c r="A51" s="2" t="s">
        <v>38</v>
      </c>
      <c r="B51" s="2"/>
      <c r="C51" s="2"/>
      <c r="D51" s="2"/>
      <c r="E51" s="2"/>
      <c r="F51" s="2"/>
    </row>
    <row r="53" customFormat="false" ht="19.5" hidden="false" customHeight="true" outlineLevel="0" collapsed="false">
      <c r="A53" s="3" t="s">
        <v>39</v>
      </c>
      <c r="B53" s="3"/>
      <c r="C53" s="3"/>
      <c r="D53" s="3"/>
      <c r="E53" s="3"/>
      <c r="F53" s="3"/>
    </row>
    <row r="54" customFormat="false" ht="15" hidden="false" customHeight="false" outlineLevel="0" collapsed="false">
      <c r="B54" s="7" t="s">
        <v>40</v>
      </c>
      <c r="C54" s="13" t="n">
        <v>0.21</v>
      </c>
    </row>
    <row r="55" customFormat="false" ht="15" hidden="false" customHeight="false" outlineLevel="0" collapsed="false">
      <c r="B55" s="7" t="s">
        <v>41</v>
      </c>
      <c r="C55" s="6" t="n">
        <v>0.035</v>
      </c>
    </row>
    <row r="56" customFormat="false" ht="15" hidden="false" customHeight="false" outlineLevel="0" collapsed="false">
      <c r="B56" s="7" t="s">
        <v>42</v>
      </c>
      <c r="C56" s="10" t="n">
        <v>300</v>
      </c>
    </row>
    <row r="57" customFormat="false" ht="22.35" hidden="false" customHeight="true" outlineLevel="0" collapsed="false">
      <c r="A57" s="2" t="s">
        <v>43</v>
      </c>
      <c r="B57" s="2"/>
      <c r="C57" s="2"/>
      <c r="D57" s="2"/>
      <c r="E57" s="2"/>
      <c r="F57" s="2"/>
    </row>
  </sheetData>
  <mergeCells count="16">
    <mergeCell ref="A1:F1"/>
    <mergeCell ref="A2:F2"/>
    <mergeCell ref="A4:F4"/>
    <mergeCell ref="A16:F16"/>
    <mergeCell ref="A18:F18"/>
    <mergeCell ref="A20:F20"/>
    <mergeCell ref="A22:F22"/>
    <mergeCell ref="A27:F27"/>
    <mergeCell ref="A29:F29"/>
    <mergeCell ref="A36:F36"/>
    <mergeCell ref="A38:F38"/>
    <mergeCell ref="A43:F43"/>
    <mergeCell ref="A45:F45"/>
    <mergeCell ref="A51:F51"/>
    <mergeCell ref="A53:F53"/>
    <mergeCell ref="A57:F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11"/>
    <col collapsed="false" customWidth="true" hidden="false" outlineLevel="0" max="6" min="4" style="0" width="12"/>
    <col collapsed="false" customWidth="true" hidden="false" outlineLevel="0" max="7" min="7" style="0" width="9"/>
    <col collapsed="false" customWidth="true" hidden="false" outlineLevel="0" max="8" min="8" style="0" width="24"/>
    <col collapsed="false" customWidth="true" hidden="false" outlineLevel="0" max="9" min="9" style="0" width="9"/>
    <col collapsed="false" customWidth="true" hidden="false" outlineLevel="0" max="10" min="10" style="0" width="26"/>
    <col collapsed="false" customWidth="true" hidden="false" outlineLevel="0" max="11" min="11" style="0" width="8"/>
    <col collapsed="false" customWidth="true" hidden="false" outlineLevel="0" max="12" min="12" style="0" width="10"/>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8" min="17" style="0" width="11"/>
    <col collapsed="false" customWidth="true" hidden="false" outlineLevel="0" max="19" min="19" style="0" width="13"/>
    <col collapsed="false" customWidth="true" hidden="false" outlineLevel="0" max="20" min="20" style="0" width="11"/>
    <col collapsed="false" customWidth="true" hidden="false" outlineLevel="0" max="21" min="21" style="0" width="13"/>
    <col collapsed="false" customWidth="true" hidden="false" outlineLevel="0" max="22" min="22" style="0" width="12"/>
    <col collapsed="false" customWidth="true" hidden="false" outlineLevel="0" max="23" min="23" style="0" width="11"/>
    <col collapsed="false" customWidth="true" hidden="false" outlineLevel="0" max="24" min="24" style="0" width="12"/>
  </cols>
  <sheetData>
    <row r="1" customFormat="false" ht="24" hidden="false" customHeight="true" outlineLevel="0" collapsed="false">
      <c r="A1" s="14" t="s">
        <v>44</v>
      </c>
      <c r="B1" s="14"/>
      <c r="C1" s="14"/>
      <c r="D1" s="14"/>
      <c r="E1" s="14"/>
      <c r="F1" s="14"/>
      <c r="G1" s="14"/>
      <c r="H1" s="14"/>
      <c r="I1" s="14"/>
      <c r="J1" s="14"/>
      <c r="K1" s="14"/>
      <c r="L1" s="14"/>
      <c r="M1" s="14"/>
      <c r="N1" s="14"/>
      <c r="O1" s="14"/>
      <c r="P1" s="14"/>
      <c r="Q1" s="14"/>
      <c r="R1" s="14"/>
      <c r="S1" s="14"/>
      <c r="T1" s="14"/>
      <c r="U1" s="14"/>
      <c r="V1" s="14"/>
      <c r="W1" s="14"/>
      <c r="X1" s="14"/>
    </row>
    <row r="2" customFormat="false" ht="30" hidden="false" customHeight="true" outlineLevel="0" collapsed="false">
      <c r="A2" s="2" t="s">
        <v>45</v>
      </c>
      <c r="B2" s="2"/>
      <c r="C2" s="2"/>
      <c r="D2" s="2"/>
      <c r="E2" s="2"/>
      <c r="F2" s="2"/>
      <c r="G2" s="2"/>
      <c r="H2" s="2"/>
      <c r="I2" s="2"/>
      <c r="J2" s="2"/>
      <c r="K2" s="2"/>
      <c r="L2" s="2"/>
      <c r="M2" s="2"/>
      <c r="N2" s="2"/>
      <c r="O2" s="2"/>
      <c r="P2" s="2"/>
      <c r="Q2" s="2"/>
      <c r="R2" s="2"/>
      <c r="S2" s="2"/>
      <c r="T2" s="2"/>
      <c r="U2" s="2"/>
      <c r="V2" s="2"/>
      <c r="W2" s="2"/>
      <c r="X2" s="2"/>
    </row>
    <row r="3" customFormat="false" ht="19.5" hidden="false" customHeight="true" outlineLevel="0" collapsed="false">
      <c r="A3" s="15" t="s">
        <v>46</v>
      </c>
      <c r="B3" s="15"/>
      <c r="C3" s="15"/>
      <c r="D3" s="15"/>
      <c r="E3" s="15"/>
      <c r="F3" s="15"/>
      <c r="G3" s="15"/>
      <c r="H3" s="15"/>
      <c r="I3" s="15"/>
      <c r="J3" s="15"/>
      <c r="K3" s="15"/>
      <c r="L3" s="15"/>
      <c r="M3" s="15"/>
      <c r="N3" s="15"/>
      <c r="O3" s="15"/>
      <c r="P3" s="15"/>
      <c r="Q3" s="15"/>
      <c r="R3" s="15"/>
      <c r="S3" s="15"/>
      <c r="T3" s="15"/>
      <c r="U3" s="15"/>
      <c r="V3" s="15"/>
      <c r="W3" s="15"/>
      <c r="X3" s="15"/>
    </row>
    <row r="5" customFormat="false" ht="43.5" hidden="false" customHeight="true" outlineLevel="0" collapsed="false">
      <c r="A5" s="16" t="s">
        <v>47</v>
      </c>
      <c r="B5" s="16" t="s">
        <v>3</v>
      </c>
      <c r="C5" s="16" t="s">
        <v>48</v>
      </c>
      <c r="D5" s="16" t="s">
        <v>49</v>
      </c>
      <c r="E5" s="16" t="s">
        <v>50</v>
      </c>
      <c r="F5" s="16" t="s">
        <v>51</v>
      </c>
      <c r="G5" s="16" t="s">
        <v>52</v>
      </c>
      <c r="H5" s="16" t="s">
        <v>53</v>
      </c>
      <c r="I5" s="16" t="s">
        <v>54</v>
      </c>
      <c r="J5" s="16" t="s">
        <v>55</v>
      </c>
      <c r="K5" s="16" t="s">
        <v>56</v>
      </c>
      <c r="L5" s="16" t="s">
        <v>57</v>
      </c>
      <c r="M5" s="16" t="s">
        <v>58</v>
      </c>
      <c r="N5" s="16" t="s">
        <v>59</v>
      </c>
      <c r="O5" s="16" t="s">
        <v>60</v>
      </c>
      <c r="P5" s="16" t="s">
        <v>61</v>
      </c>
      <c r="Q5" s="16" t="s">
        <v>62</v>
      </c>
      <c r="R5" s="16" t="s">
        <v>63</v>
      </c>
      <c r="S5" s="16" t="s">
        <v>64</v>
      </c>
      <c r="T5" s="16" t="s">
        <v>65</v>
      </c>
      <c r="U5" s="16" t="s">
        <v>66</v>
      </c>
      <c r="V5" s="16" t="s">
        <v>67</v>
      </c>
      <c r="W5" s="16" t="s">
        <v>68</v>
      </c>
      <c r="X5" s="16" t="s">
        <v>69</v>
      </c>
    </row>
    <row r="6" customFormat="false" ht="15.75" hidden="false" customHeight="true" outlineLevel="0" collapsed="false">
      <c r="A6" s="17" t="s">
        <v>70</v>
      </c>
      <c r="B6" s="18" t="s">
        <v>13</v>
      </c>
      <c r="C6" s="18" t="s">
        <v>71</v>
      </c>
      <c r="D6" s="19" t="n">
        <v>45000</v>
      </c>
      <c r="E6" s="19" t="n">
        <v>22000</v>
      </c>
      <c r="F6" s="19" t="n">
        <v>500</v>
      </c>
      <c r="G6" s="20" t="n">
        <v>1.2</v>
      </c>
      <c r="H6" s="18" t="s">
        <v>72</v>
      </c>
      <c r="I6" s="18" t="s">
        <v>73</v>
      </c>
      <c r="J6" s="18" t="s">
        <v>31</v>
      </c>
      <c r="K6" s="18" t="n">
        <v>0</v>
      </c>
      <c r="L6" s="21" t="n">
        <f aca="false">IF($B6="","",IFERROR(IF($C6="Premium",INDEX(ComisionPremium,MATCH($B6,CatList,0)),INDEX(ComisionClasica,MATCH($B6,CatList,0))),0))</f>
        <v>0.135</v>
      </c>
      <c r="M6" s="22" t="n">
        <f aca="false">IF($B6="","",$D6*$L6)</f>
        <v>6075</v>
      </c>
      <c r="N6" s="22" t="n">
        <f aca="false">IF($B6="","",IFERROR(IF($I6="No",0,IF($D6&lt;UmbralEnvioGratis,INDEX(CostoFijoTramo,MATCH($D6,TramoPrecioDesde,1))*IF($H6="Full",1-INDEX(DescuentoFull,MATCH($J6,ReputacionList,0)),1),INDEX(CostoEnvioPeso,MATCH($G6,TramoPesoDesde,1))*IF($H6="Full",1-INDEX(DescuentoFull,MATCH($J6,ReputacionList,0)),1))),0))</f>
        <v>2250</v>
      </c>
      <c r="O6" s="22" t="n">
        <f aca="false">IF($B6="","",IFERROR($D6*INDEX(CargoCuotas,MATCH($K6,CuotasList,0)),0))</f>
        <v>0</v>
      </c>
      <c r="P6" s="22" t="n">
        <f aca="false">IF($B6="","",M6+N6+O6)</f>
        <v>8325</v>
      </c>
      <c r="Q6" s="22" t="n">
        <f aca="false">IF($B6="","",P6*IVAParam)</f>
        <v>1748.25</v>
      </c>
      <c r="R6" s="22" t="n">
        <f aca="false">IF($B6="","",IF($H6="Full",AlmacenFull,0))</f>
        <v>300</v>
      </c>
      <c r="S6" s="22" t="n">
        <f aca="false">IF($B6="","",P6+Q6+R6)</f>
        <v>10373.25</v>
      </c>
      <c r="T6" s="22" t="n">
        <f aca="false">IF($B6="","",$D6*IIBBParam)</f>
        <v>1575</v>
      </c>
      <c r="U6" s="22" t="n">
        <f aca="false">IF($B6="","",$D6-$S6)</f>
        <v>34626.75</v>
      </c>
      <c r="V6" s="22" t="n">
        <f aca="false">IF($B6="","",$U6-$E6-$F6)</f>
        <v>12126.75</v>
      </c>
      <c r="W6" s="23" t="n">
        <f aca="false">IF($B6="","",IF($D6=0,0,$V6/$D6))</f>
        <v>0.269483333333333</v>
      </c>
      <c r="X6" s="23" t="n">
        <f aca="false">IF($B6="","",IF(($E6+$F6)=0,0,$V6/($E6+$F6)))</f>
        <v>0.538966666666667</v>
      </c>
    </row>
    <row r="7" customFormat="false" ht="15.75" hidden="false" customHeight="true" outlineLevel="0" collapsed="false">
      <c r="A7" s="17" t="s">
        <v>74</v>
      </c>
      <c r="B7" s="18" t="s">
        <v>7</v>
      </c>
      <c r="C7" s="18" t="s">
        <v>71</v>
      </c>
      <c r="D7" s="19" t="n">
        <v>18000</v>
      </c>
      <c r="E7" s="19" t="n">
        <v>9000</v>
      </c>
      <c r="F7" s="19" t="n">
        <v>300</v>
      </c>
      <c r="G7" s="20" t="n">
        <v>0.3</v>
      </c>
      <c r="H7" s="18" t="s">
        <v>72</v>
      </c>
      <c r="I7" s="18" t="s">
        <v>73</v>
      </c>
      <c r="J7" s="18" t="s">
        <v>32</v>
      </c>
      <c r="K7" s="18" t="n">
        <v>3</v>
      </c>
      <c r="L7" s="21" t="n">
        <f aca="false">IF($B7="","",IFERROR(IF($C7="Premium",INDEX(ComisionPremium,MATCH($B7,CatList,0)),INDEX(ComisionClasica,MATCH($B7,CatList,0))),0))</f>
        <v>0.15</v>
      </c>
      <c r="M7" s="22" t="n">
        <f aca="false">IF($B7="","",$D7*$L7)</f>
        <v>2700</v>
      </c>
      <c r="N7" s="22" t="n">
        <f aca="false">IF($B7="","",IFERROR(IF($I7="No",0,IF($D7&lt;UmbralEnvioGratis,INDEX(CostoFijoTramo,MATCH($D7,TramoPrecioDesde,1))*IF($H7="Full",1-INDEX(DescuentoFull,MATCH($J7,ReputacionList,0)),1),INDEX(CostoEnvioPeso,MATCH($G7,TramoPesoDesde,1))*IF($H7="Full",1-INDEX(DescuentoFull,MATCH($J7,ReputacionList,0)),1))),0))</f>
        <v>1350</v>
      </c>
      <c r="O7" s="22" t="n">
        <f aca="false">IF($B7="","",IFERROR($D7*INDEX(CargoCuotas,MATCH($K7,CuotasList,0)),0))</f>
        <v>1035</v>
      </c>
      <c r="P7" s="22" t="n">
        <f aca="false">IF($B7="","",M7+N7+O7)</f>
        <v>5085</v>
      </c>
      <c r="Q7" s="22" t="n">
        <f aca="false">IF($B7="","",P7*IVAParam)</f>
        <v>1067.85</v>
      </c>
      <c r="R7" s="22" t="n">
        <f aca="false">IF($B7="","",IF($H7="Full",AlmacenFull,0))</f>
        <v>300</v>
      </c>
      <c r="S7" s="22" t="n">
        <f aca="false">IF($B7="","",P7+Q7+R7)</f>
        <v>6452.85</v>
      </c>
      <c r="T7" s="22" t="n">
        <f aca="false">IF($B7="","",$D7*IIBBParam)</f>
        <v>630</v>
      </c>
      <c r="U7" s="22" t="n">
        <f aca="false">IF($B7="","",$D7-$S7)</f>
        <v>11547.15</v>
      </c>
      <c r="V7" s="22" t="n">
        <f aca="false">IF($B7="","",$U7-$E7-$F7)</f>
        <v>2247.15</v>
      </c>
      <c r="W7" s="23" t="n">
        <f aca="false">IF($B7="","",IF($D7=0,0,$V7/$D7))</f>
        <v>0.124841666666667</v>
      </c>
      <c r="X7" s="23" t="n">
        <f aca="false">IF($B7="","",IF(($E7+$F7)=0,0,$V7/($E7+$F7)))</f>
        <v>0.241629032258064</v>
      </c>
    </row>
    <row r="8" customFormat="false" ht="15.75" hidden="false" customHeight="true" outlineLevel="0" collapsed="false">
      <c r="A8" s="17" t="s">
        <v>75</v>
      </c>
      <c r="B8" s="18" t="s">
        <v>10</v>
      </c>
      <c r="C8" s="18" t="s">
        <v>71</v>
      </c>
      <c r="D8" s="19" t="n">
        <v>12000</v>
      </c>
      <c r="E8" s="19" t="n">
        <v>6000</v>
      </c>
      <c r="F8" s="19" t="n">
        <v>200</v>
      </c>
      <c r="G8" s="20" t="n">
        <v>0.8</v>
      </c>
      <c r="H8" s="18" t="s">
        <v>76</v>
      </c>
      <c r="I8" s="18" t="s">
        <v>73</v>
      </c>
      <c r="J8" s="18"/>
      <c r="K8" s="18" t="n">
        <v>0</v>
      </c>
      <c r="L8" s="21" t="n">
        <f aca="false">IF($B8="","",IFERROR(IF($C8="Premium",INDEX(ComisionPremium,MATCH($B8,CatList,0)),INDEX(ComisionClasica,MATCH($B8,CatList,0))),0))</f>
        <v>0.13</v>
      </c>
      <c r="M8" s="22" t="n">
        <f aca="false">IF($B8="","",$D8*$L8)</f>
        <v>1560</v>
      </c>
      <c r="N8" s="22" t="n">
        <f aca="false">IF($B8="","",IFERROR(IF($I8="No",0,IF($D8&lt;UmbralEnvioGratis,INDEX(CostoFijoTramo,MATCH($D8,TramoPrecioDesde,1))*IF($H8="Full",1-INDEX(DescuentoFull,MATCH($J8,ReputacionList,0)),1),INDEX(CostoEnvioPeso,MATCH($G8,TramoPesoDesde,1))*IF($H8="Full",1-INDEX(DescuentoFull,MATCH($J8,ReputacionList,0)),1))),0))</f>
        <v>1100</v>
      </c>
      <c r="O8" s="22" t="n">
        <f aca="false">IF($B8="","",IFERROR($D8*INDEX(CargoCuotas,MATCH($K8,CuotasList,0)),0))</f>
        <v>0</v>
      </c>
      <c r="P8" s="22" t="n">
        <f aca="false">IF($B8="","",M8+N8+O8)</f>
        <v>2660</v>
      </c>
      <c r="Q8" s="22" t="n">
        <f aca="false">IF($B8="","",P8*IVAParam)</f>
        <v>558.6</v>
      </c>
      <c r="R8" s="22" t="n">
        <f aca="false">IF($B8="","",IF($H8="Full",AlmacenFull,0))</f>
        <v>0</v>
      </c>
      <c r="S8" s="22" t="n">
        <f aca="false">IF($B8="","",P8+Q8+R8)</f>
        <v>3218.6</v>
      </c>
      <c r="T8" s="22" t="n">
        <f aca="false">IF($B8="","",$D8*IIBBParam)</f>
        <v>420</v>
      </c>
      <c r="U8" s="22" t="n">
        <f aca="false">IF($B8="","",$D8-$S8)</f>
        <v>8781.4</v>
      </c>
      <c r="V8" s="22" t="n">
        <f aca="false">IF($B8="","",$U8-$E8-$F8)</f>
        <v>2581.4</v>
      </c>
      <c r="W8" s="23" t="n">
        <f aca="false">IF($B8="","",IF($D8=0,0,$V8/$D8))</f>
        <v>0.215116666666667</v>
      </c>
      <c r="X8" s="23" t="n">
        <f aca="false">IF($B8="","",IF(($E8+$F8)=0,0,$V8/($E8+$F8)))</f>
        <v>0.416354838709677</v>
      </c>
    </row>
    <row r="9" customFormat="false" ht="15.75" hidden="false" customHeight="true" outlineLevel="0" collapsed="false">
      <c r="A9" s="17" t="s">
        <v>77</v>
      </c>
      <c r="B9" s="18" t="s">
        <v>11</v>
      </c>
      <c r="C9" s="18" t="s">
        <v>71</v>
      </c>
      <c r="D9" s="19" t="n">
        <v>8000</v>
      </c>
      <c r="E9" s="19" t="n">
        <v>4000</v>
      </c>
      <c r="F9" s="19" t="n">
        <v>100</v>
      </c>
      <c r="G9" s="20" t="n">
        <v>0.5</v>
      </c>
      <c r="H9" s="18" t="s">
        <v>78</v>
      </c>
      <c r="I9" s="18" t="s">
        <v>79</v>
      </c>
      <c r="J9" s="18"/>
      <c r="K9" s="18" t="n">
        <v>0</v>
      </c>
      <c r="L9" s="21" t="n">
        <f aca="false">IF($B9="","",IFERROR(IF($C9="Premium",INDEX(ComisionPremium,MATCH($B9,CatList,0)),INDEX(ComisionClasica,MATCH($B9,CatList,0))),0))</f>
        <v>0.135</v>
      </c>
      <c r="M9" s="22" t="n">
        <f aca="false">IF($B9="","",$D9*$L9)</f>
        <v>1080</v>
      </c>
      <c r="N9" s="22" t="n">
        <f aca="false">IF($B9="","",IFERROR(IF($I9="No",0,IF($D9&lt;UmbralEnvioGratis,INDEX(CostoFijoTramo,MATCH($D9,TramoPrecioDesde,1))*IF($H9="Full",1-INDEX(DescuentoFull,MATCH($J9,ReputacionList,0)),1),INDEX(CostoEnvioPeso,MATCH($G9,TramoPesoDesde,1))*IF($H9="Full",1-INDEX(DescuentoFull,MATCH($J9,ReputacionList,0)),1))),0))</f>
        <v>0</v>
      </c>
      <c r="O9" s="22" t="n">
        <f aca="false">IF($B9="","",IFERROR($D9*INDEX(CargoCuotas,MATCH($K9,CuotasList,0)),0))</f>
        <v>0</v>
      </c>
      <c r="P9" s="22" t="n">
        <f aca="false">IF($B9="","",M9+N9+O9)</f>
        <v>1080</v>
      </c>
      <c r="Q9" s="22" t="n">
        <f aca="false">IF($B9="","",P9*IVAParam)</f>
        <v>226.8</v>
      </c>
      <c r="R9" s="22" t="n">
        <f aca="false">IF($B9="","",IF($H9="Full",AlmacenFull,0))</f>
        <v>0</v>
      </c>
      <c r="S9" s="22" t="n">
        <f aca="false">IF($B9="","",P9+Q9+R9)</f>
        <v>1306.8</v>
      </c>
      <c r="T9" s="22" t="n">
        <f aca="false">IF($B9="","",$D9*IIBBParam)</f>
        <v>280</v>
      </c>
      <c r="U9" s="22" t="n">
        <f aca="false">IF($B9="","",$D9-$S9)</f>
        <v>6693.2</v>
      </c>
      <c r="V9" s="22" t="n">
        <f aca="false">IF($B9="","",$U9-$E9-$F9)</f>
        <v>2593.2</v>
      </c>
      <c r="W9" s="23" t="n">
        <f aca="false">IF($B9="","",IF($D9=0,0,$V9/$D9))</f>
        <v>0.32415</v>
      </c>
      <c r="X9" s="23" t="n">
        <f aca="false">IF($B9="","",IF(($E9+$F9)=0,0,$V9/($E9+$F9)))</f>
        <v>0.632487804878049</v>
      </c>
    </row>
    <row r="10" customFormat="false" ht="15.75" hidden="false" customHeight="true" outlineLevel="0" collapsed="false">
      <c r="A10" s="5"/>
      <c r="B10" s="5"/>
      <c r="C10" s="5"/>
      <c r="D10" s="10"/>
      <c r="E10" s="10"/>
      <c r="F10" s="10"/>
      <c r="G10" s="11"/>
      <c r="H10" s="5"/>
      <c r="I10" s="5"/>
      <c r="J10" s="5"/>
      <c r="K10" s="5"/>
      <c r="L10" s="24" t="str">
        <f aca="false">IF($B10="","",IFERROR(IF($C10="Premium",INDEX(ComisionPremium,MATCH($B10,CatList,0)),INDEX(ComisionClasica,MATCH($B10,CatList,0))),0))</f>
        <v/>
      </c>
      <c r="M10" s="25" t="str">
        <f aca="false">IF($B10="","",$D10*$L10)</f>
        <v/>
      </c>
      <c r="N10" s="25" t="str">
        <f aca="false">IF($B10="","",IFERROR(IF($I10="No",0,IF($D10&lt;UmbralEnvioGratis,INDEX(CostoFijoTramo,MATCH($D10,TramoPrecioDesde,1))*IF($H10="Full",1-INDEX(DescuentoFull,MATCH($J10,ReputacionList,0)),1),INDEX(CostoEnvioPeso,MATCH($G10,TramoPesoDesde,1))*IF($H10="Full",1-INDEX(DescuentoFull,MATCH($J10,ReputacionList,0)),1))),0))</f>
        <v/>
      </c>
      <c r="O10" s="25" t="str">
        <f aca="false">IF($B10="","",IFERROR($D10*INDEX(CargoCuotas,MATCH($K10,CuotasList,0)),0))</f>
        <v/>
      </c>
      <c r="P10" s="25" t="str">
        <f aca="false">IF($B10="","",M10+N10+O10)</f>
        <v/>
      </c>
      <c r="Q10" s="25" t="str">
        <f aca="false">IF($B10="","",P10*IVAParam)</f>
        <v/>
      </c>
      <c r="R10" s="25" t="str">
        <f aca="false">IF($B10="","",IF($H10="Full",AlmacenFull,0))</f>
        <v/>
      </c>
      <c r="S10" s="25" t="str">
        <f aca="false">IF($B10="","",P10+Q10+R10)</f>
        <v/>
      </c>
      <c r="T10" s="25" t="str">
        <f aca="false">IF($B10="","",$D10*IIBBParam)</f>
        <v/>
      </c>
      <c r="U10" s="25" t="str">
        <f aca="false">IF($B10="","",$D10-$S10)</f>
        <v/>
      </c>
      <c r="V10" s="25" t="str">
        <f aca="false">IF($B10="","",$U10-$E10-$F10)</f>
        <v/>
      </c>
      <c r="W10" s="26" t="str">
        <f aca="false">IF($B10="","",IF($D10=0,0,$V10/$D10))</f>
        <v/>
      </c>
      <c r="X10" s="26" t="str">
        <f aca="false">IF($B10="","",IF(($E10+$F10)=0,0,$V10/($E10+$F10)))</f>
        <v/>
      </c>
    </row>
    <row r="11" customFormat="false" ht="15.75" hidden="false" customHeight="true" outlineLevel="0" collapsed="false">
      <c r="A11" s="5"/>
      <c r="B11" s="5"/>
      <c r="C11" s="5"/>
      <c r="D11" s="10"/>
      <c r="E11" s="10"/>
      <c r="F11" s="10"/>
      <c r="G11" s="11"/>
      <c r="H11" s="5"/>
      <c r="I11" s="5"/>
      <c r="J11" s="5"/>
      <c r="K11" s="5"/>
      <c r="L11" s="24" t="str">
        <f aca="false">IF($B11="","",IFERROR(IF($C11="Premium",INDEX(ComisionPremium,MATCH($B11,CatList,0)),INDEX(ComisionClasica,MATCH($B11,CatList,0))),0))</f>
        <v/>
      </c>
      <c r="M11" s="25" t="str">
        <f aca="false">IF($B11="","",$D11*$L11)</f>
        <v/>
      </c>
      <c r="N11" s="25" t="str">
        <f aca="false">IF($B11="","",IFERROR(IF($I11="No",0,IF($D11&lt;UmbralEnvioGratis,INDEX(CostoFijoTramo,MATCH($D11,TramoPrecioDesde,1))*IF($H11="Full",1-INDEX(DescuentoFull,MATCH($J11,ReputacionList,0)),1),INDEX(CostoEnvioPeso,MATCH($G11,TramoPesoDesde,1))*IF($H11="Full",1-INDEX(DescuentoFull,MATCH($J11,ReputacionList,0)),1))),0))</f>
        <v/>
      </c>
      <c r="O11" s="25" t="str">
        <f aca="false">IF($B11="","",IFERROR($D11*INDEX(CargoCuotas,MATCH($K11,CuotasList,0)),0))</f>
        <v/>
      </c>
      <c r="P11" s="25" t="str">
        <f aca="false">IF($B11="","",M11+N11+O11)</f>
        <v/>
      </c>
      <c r="Q11" s="25" t="str">
        <f aca="false">IF($B11="","",P11*IVAParam)</f>
        <v/>
      </c>
      <c r="R11" s="25" t="str">
        <f aca="false">IF($B11="","",IF($H11="Full",AlmacenFull,0))</f>
        <v/>
      </c>
      <c r="S11" s="25" t="str">
        <f aca="false">IF($B11="","",P11+Q11+R11)</f>
        <v/>
      </c>
      <c r="T11" s="25" t="str">
        <f aca="false">IF($B11="","",$D11*IIBBParam)</f>
        <v/>
      </c>
      <c r="U11" s="25" t="str">
        <f aca="false">IF($B11="","",$D11-$S11)</f>
        <v/>
      </c>
      <c r="V11" s="25" t="str">
        <f aca="false">IF($B11="","",$U11-$E11-$F11)</f>
        <v/>
      </c>
      <c r="W11" s="26" t="str">
        <f aca="false">IF($B11="","",IF($D11=0,0,$V11/$D11))</f>
        <v/>
      </c>
      <c r="X11" s="26" t="str">
        <f aca="false">IF($B11="","",IF(($E11+$F11)=0,0,$V11/($E11+$F11)))</f>
        <v/>
      </c>
    </row>
    <row r="12" customFormat="false" ht="15.75" hidden="false" customHeight="true" outlineLevel="0" collapsed="false">
      <c r="A12" s="5"/>
      <c r="B12" s="5"/>
      <c r="C12" s="5"/>
      <c r="D12" s="10"/>
      <c r="E12" s="10"/>
      <c r="F12" s="10"/>
      <c r="G12" s="11"/>
      <c r="H12" s="5"/>
      <c r="I12" s="5"/>
      <c r="J12" s="5"/>
      <c r="K12" s="5"/>
      <c r="L12" s="24" t="str">
        <f aca="false">IF($B12="","",IFERROR(IF($C12="Premium",INDEX(ComisionPremium,MATCH($B12,CatList,0)),INDEX(ComisionClasica,MATCH($B12,CatList,0))),0))</f>
        <v/>
      </c>
      <c r="M12" s="25" t="str">
        <f aca="false">IF($B12="","",$D12*$L12)</f>
        <v/>
      </c>
      <c r="N12" s="25" t="str">
        <f aca="false">IF($B12="","",IFERROR(IF($I12="No",0,IF($D12&lt;UmbralEnvioGratis,INDEX(CostoFijoTramo,MATCH($D12,TramoPrecioDesde,1))*IF($H12="Full",1-INDEX(DescuentoFull,MATCH($J12,ReputacionList,0)),1),INDEX(CostoEnvioPeso,MATCH($G12,TramoPesoDesde,1))*IF($H12="Full",1-INDEX(DescuentoFull,MATCH($J12,ReputacionList,0)),1))),0))</f>
        <v/>
      </c>
      <c r="O12" s="25" t="str">
        <f aca="false">IF($B12="","",IFERROR($D12*INDEX(CargoCuotas,MATCH($K12,CuotasList,0)),0))</f>
        <v/>
      </c>
      <c r="P12" s="25" t="str">
        <f aca="false">IF($B12="","",M12+N12+O12)</f>
        <v/>
      </c>
      <c r="Q12" s="25" t="str">
        <f aca="false">IF($B12="","",P12*IVAParam)</f>
        <v/>
      </c>
      <c r="R12" s="25" t="str">
        <f aca="false">IF($B12="","",IF($H12="Full",AlmacenFull,0))</f>
        <v/>
      </c>
      <c r="S12" s="25" t="str">
        <f aca="false">IF($B12="","",P12+Q12+R12)</f>
        <v/>
      </c>
      <c r="T12" s="25" t="str">
        <f aca="false">IF($B12="","",$D12*IIBBParam)</f>
        <v/>
      </c>
      <c r="U12" s="25" t="str">
        <f aca="false">IF($B12="","",$D12-$S12)</f>
        <v/>
      </c>
      <c r="V12" s="25" t="str">
        <f aca="false">IF($B12="","",$U12-$E12-$F12)</f>
        <v/>
      </c>
      <c r="W12" s="26" t="str">
        <f aca="false">IF($B12="","",IF($D12=0,0,$V12/$D12))</f>
        <v/>
      </c>
      <c r="X12" s="26" t="str">
        <f aca="false">IF($B12="","",IF(($E12+$F12)=0,0,$V12/($E12+$F12)))</f>
        <v/>
      </c>
    </row>
    <row r="13" customFormat="false" ht="15.75" hidden="false" customHeight="true" outlineLevel="0" collapsed="false">
      <c r="A13" s="5"/>
      <c r="B13" s="5"/>
      <c r="C13" s="5"/>
      <c r="D13" s="10"/>
      <c r="E13" s="10"/>
      <c r="F13" s="10"/>
      <c r="G13" s="11"/>
      <c r="H13" s="5"/>
      <c r="I13" s="5"/>
      <c r="J13" s="5"/>
      <c r="K13" s="5"/>
      <c r="L13" s="24" t="str">
        <f aca="false">IF($B13="","",IFERROR(IF($C13="Premium",INDEX(ComisionPremium,MATCH($B13,CatList,0)),INDEX(ComisionClasica,MATCH($B13,CatList,0))),0))</f>
        <v/>
      </c>
      <c r="M13" s="25" t="str">
        <f aca="false">IF($B13="","",$D13*$L13)</f>
        <v/>
      </c>
      <c r="N13" s="25" t="str">
        <f aca="false">IF($B13="","",IFERROR(IF($I13="No",0,IF($D13&lt;UmbralEnvioGratis,INDEX(CostoFijoTramo,MATCH($D13,TramoPrecioDesde,1))*IF($H13="Full",1-INDEX(DescuentoFull,MATCH($J13,ReputacionList,0)),1),INDEX(CostoEnvioPeso,MATCH($G13,TramoPesoDesde,1))*IF($H13="Full",1-INDEX(DescuentoFull,MATCH($J13,ReputacionList,0)),1))),0))</f>
        <v/>
      </c>
      <c r="O13" s="25" t="str">
        <f aca="false">IF($B13="","",IFERROR($D13*INDEX(CargoCuotas,MATCH($K13,CuotasList,0)),0))</f>
        <v/>
      </c>
      <c r="P13" s="25" t="str">
        <f aca="false">IF($B13="","",M13+N13+O13)</f>
        <v/>
      </c>
      <c r="Q13" s="25" t="str">
        <f aca="false">IF($B13="","",P13*IVAParam)</f>
        <v/>
      </c>
      <c r="R13" s="25" t="str">
        <f aca="false">IF($B13="","",IF($H13="Full",AlmacenFull,0))</f>
        <v/>
      </c>
      <c r="S13" s="25" t="str">
        <f aca="false">IF($B13="","",P13+Q13+R13)</f>
        <v/>
      </c>
      <c r="T13" s="25" t="str">
        <f aca="false">IF($B13="","",$D13*IIBBParam)</f>
        <v/>
      </c>
      <c r="U13" s="25" t="str">
        <f aca="false">IF($B13="","",$D13-$S13)</f>
        <v/>
      </c>
      <c r="V13" s="25" t="str">
        <f aca="false">IF($B13="","",$U13-$E13-$F13)</f>
        <v/>
      </c>
      <c r="W13" s="26" t="str">
        <f aca="false">IF($B13="","",IF($D13=0,0,$V13/$D13))</f>
        <v/>
      </c>
      <c r="X13" s="26" t="str">
        <f aca="false">IF($B13="","",IF(($E13+$F13)=0,0,$V13/($E13+$F13)))</f>
        <v/>
      </c>
    </row>
    <row r="14" customFormat="false" ht="15.75" hidden="false" customHeight="true" outlineLevel="0" collapsed="false">
      <c r="A14" s="5"/>
      <c r="B14" s="5"/>
      <c r="C14" s="5"/>
      <c r="D14" s="10"/>
      <c r="E14" s="10"/>
      <c r="F14" s="10"/>
      <c r="G14" s="11"/>
      <c r="H14" s="5"/>
      <c r="I14" s="5"/>
      <c r="J14" s="5"/>
      <c r="K14" s="5"/>
      <c r="L14" s="24" t="str">
        <f aca="false">IF($B14="","",IFERROR(IF($C14="Premium",INDEX(ComisionPremium,MATCH($B14,CatList,0)),INDEX(ComisionClasica,MATCH($B14,CatList,0))),0))</f>
        <v/>
      </c>
      <c r="M14" s="25" t="str">
        <f aca="false">IF($B14="","",$D14*$L14)</f>
        <v/>
      </c>
      <c r="N14" s="25" t="str">
        <f aca="false">IF($B14="","",IFERROR(IF($I14="No",0,IF($D14&lt;UmbralEnvioGratis,INDEX(CostoFijoTramo,MATCH($D14,TramoPrecioDesde,1))*IF($H14="Full",1-INDEX(DescuentoFull,MATCH($J14,ReputacionList,0)),1),INDEX(CostoEnvioPeso,MATCH($G14,TramoPesoDesde,1))*IF($H14="Full",1-INDEX(DescuentoFull,MATCH($J14,ReputacionList,0)),1))),0))</f>
        <v/>
      </c>
      <c r="O14" s="25" t="str">
        <f aca="false">IF($B14="","",IFERROR($D14*INDEX(CargoCuotas,MATCH($K14,CuotasList,0)),0))</f>
        <v/>
      </c>
      <c r="P14" s="25" t="str">
        <f aca="false">IF($B14="","",M14+N14+O14)</f>
        <v/>
      </c>
      <c r="Q14" s="25" t="str">
        <f aca="false">IF($B14="","",P14*IVAParam)</f>
        <v/>
      </c>
      <c r="R14" s="25" t="str">
        <f aca="false">IF($B14="","",IF($H14="Full",AlmacenFull,0))</f>
        <v/>
      </c>
      <c r="S14" s="25" t="str">
        <f aca="false">IF($B14="","",P14+Q14+R14)</f>
        <v/>
      </c>
      <c r="T14" s="25" t="str">
        <f aca="false">IF($B14="","",$D14*IIBBParam)</f>
        <v/>
      </c>
      <c r="U14" s="25" t="str">
        <f aca="false">IF($B14="","",$D14-$S14)</f>
        <v/>
      </c>
      <c r="V14" s="25" t="str">
        <f aca="false">IF($B14="","",$U14-$E14-$F14)</f>
        <v/>
      </c>
      <c r="W14" s="26" t="str">
        <f aca="false">IF($B14="","",IF($D14=0,0,$V14/$D14))</f>
        <v/>
      </c>
      <c r="X14" s="26" t="str">
        <f aca="false">IF($B14="","",IF(($E14+$F14)=0,0,$V14/($E14+$F14)))</f>
        <v/>
      </c>
    </row>
    <row r="15" customFormat="false" ht="15.75" hidden="false" customHeight="true" outlineLevel="0" collapsed="false">
      <c r="A15" s="5"/>
      <c r="B15" s="5"/>
      <c r="C15" s="5"/>
      <c r="D15" s="10"/>
      <c r="E15" s="10"/>
      <c r="F15" s="10"/>
      <c r="G15" s="11"/>
      <c r="H15" s="5"/>
      <c r="I15" s="5"/>
      <c r="J15" s="5"/>
      <c r="K15" s="5"/>
      <c r="L15" s="24" t="str">
        <f aca="false">IF($B15="","",IFERROR(IF($C15="Premium",INDEX(ComisionPremium,MATCH($B15,CatList,0)),INDEX(ComisionClasica,MATCH($B15,CatList,0))),0))</f>
        <v/>
      </c>
      <c r="M15" s="25" t="str">
        <f aca="false">IF($B15="","",$D15*$L15)</f>
        <v/>
      </c>
      <c r="N15" s="25" t="str">
        <f aca="false">IF($B15="","",IFERROR(IF($I15="No",0,IF($D15&lt;UmbralEnvioGratis,INDEX(CostoFijoTramo,MATCH($D15,TramoPrecioDesde,1))*IF($H15="Full",1-INDEX(DescuentoFull,MATCH($J15,ReputacionList,0)),1),INDEX(CostoEnvioPeso,MATCH($G15,TramoPesoDesde,1))*IF($H15="Full",1-INDEX(DescuentoFull,MATCH($J15,ReputacionList,0)),1))),0))</f>
        <v/>
      </c>
      <c r="O15" s="25" t="str">
        <f aca="false">IF($B15="","",IFERROR($D15*INDEX(CargoCuotas,MATCH($K15,CuotasList,0)),0))</f>
        <v/>
      </c>
      <c r="P15" s="25" t="str">
        <f aca="false">IF($B15="","",M15+N15+O15)</f>
        <v/>
      </c>
      <c r="Q15" s="25" t="str">
        <f aca="false">IF($B15="","",P15*IVAParam)</f>
        <v/>
      </c>
      <c r="R15" s="25" t="str">
        <f aca="false">IF($B15="","",IF($H15="Full",AlmacenFull,0))</f>
        <v/>
      </c>
      <c r="S15" s="25" t="str">
        <f aca="false">IF($B15="","",P15+Q15+R15)</f>
        <v/>
      </c>
      <c r="T15" s="25" t="str">
        <f aca="false">IF($B15="","",$D15*IIBBParam)</f>
        <v/>
      </c>
      <c r="U15" s="25" t="str">
        <f aca="false">IF($B15="","",$D15-$S15)</f>
        <v/>
      </c>
      <c r="V15" s="25" t="str">
        <f aca="false">IF($B15="","",$U15-$E15-$F15)</f>
        <v/>
      </c>
      <c r="W15" s="26" t="str">
        <f aca="false">IF($B15="","",IF($D15=0,0,$V15/$D15))</f>
        <v/>
      </c>
      <c r="X15" s="26" t="str">
        <f aca="false">IF($B15="","",IF(($E15+$F15)=0,0,$V15/($E15+$F15)))</f>
        <v/>
      </c>
    </row>
    <row r="16" customFormat="false" ht="15.75" hidden="false" customHeight="true" outlineLevel="0" collapsed="false">
      <c r="A16" s="5"/>
      <c r="B16" s="5"/>
      <c r="C16" s="5"/>
      <c r="D16" s="10"/>
      <c r="E16" s="10"/>
      <c r="F16" s="10"/>
      <c r="G16" s="11"/>
      <c r="H16" s="5"/>
      <c r="I16" s="5"/>
      <c r="J16" s="5"/>
      <c r="K16" s="5"/>
      <c r="L16" s="24" t="str">
        <f aca="false">IF($B16="","",IFERROR(IF($C16="Premium",INDEX(ComisionPremium,MATCH($B16,CatList,0)),INDEX(ComisionClasica,MATCH($B16,CatList,0))),0))</f>
        <v/>
      </c>
      <c r="M16" s="25" t="str">
        <f aca="false">IF($B16="","",$D16*$L16)</f>
        <v/>
      </c>
      <c r="N16" s="25" t="str">
        <f aca="false">IF($B16="","",IFERROR(IF($I16="No",0,IF($D16&lt;UmbralEnvioGratis,INDEX(CostoFijoTramo,MATCH($D16,TramoPrecioDesde,1))*IF($H16="Full",1-INDEX(DescuentoFull,MATCH($J16,ReputacionList,0)),1),INDEX(CostoEnvioPeso,MATCH($G16,TramoPesoDesde,1))*IF($H16="Full",1-INDEX(DescuentoFull,MATCH($J16,ReputacionList,0)),1))),0))</f>
        <v/>
      </c>
      <c r="O16" s="25" t="str">
        <f aca="false">IF($B16="","",IFERROR($D16*INDEX(CargoCuotas,MATCH($K16,CuotasList,0)),0))</f>
        <v/>
      </c>
      <c r="P16" s="25" t="str">
        <f aca="false">IF($B16="","",M16+N16+O16)</f>
        <v/>
      </c>
      <c r="Q16" s="25" t="str">
        <f aca="false">IF($B16="","",P16*IVAParam)</f>
        <v/>
      </c>
      <c r="R16" s="25" t="str">
        <f aca="false">IF($B16="","",IF($H16="Full",AlmacenFull,0))</f>
        <v/>
      </c>
      <c r="S16" s="25" t="str">
        <f aca="false">IF($B16="","",P16+Q16+R16)</f>
        <v/>
      </c>
      <c r="T16" s="25" t="str">
        <f aca="false">IF($B16="","",$D16*IIBBParam)</f>
        <v/>
      </c>
      <c r="U16" s="25" t="str">
        <f aca="false">IF($B16="","",$D16-$S16)</f>
        <v/>
      </c>
      <c r="V16" s="25" t="str">
        <f aca="false">IF($B16="","",$U16-$E16-$F16)</f>
        <v/>
      </c>
      <c r="W16" s="26" t="str">
        <f aca="false">IF($B16="","",IF($D16=0,0,$V16/$D16))</f>
        <v/>
      </c>
      <c r="X16" s="26" t="str">
        <f aca="false">IF($B16="","",IF(($E16+$F16)=0,0,$V16/($E16+$F16)))</f>
        <v/>
      </c>
    </row>
    <row r="17" customFormat="false" ht="15.75" hidden="false" customHeight="true" outlineLevel="0" collapsed="false">
      <c r="A17" s="5"/>
      <c r="B17" s="5"/>
      <c r="C17" s="5"/>
      <c r="D17" s="10"/>
      <c r="E17" s="10"/>
      <c r="F17" s="10"/>
      <c r="G17" s="11"/>
      <c r="H17" s="5"/>
      <c r="I17" s="5"/>
      <c r="J17" s="5"/>
      <c r="K17" s="5"/>
      <c r="L17" s="24" t="str">
        <f aca="false">IF($B17="","",IFERROR(IF($C17="Premium",INDEX(ComisionPremium,MATCH($B17,CatList,0)),INDEX(ComisionClasica,MATCH($B17,CatList,0))),0))</f>
        <v/>
      </c>
      <c r="M17" s="25" t="str">
        <f aca="false">IF($B17="","",$D17*$L17)</f>
        <v/>
      </c>
      <c r="N17" s="25" t="str">
        <f aca="false">IF($B17="","",IFERROR(IF($I17="No",0,IF($D17&lt;UmbralEnvioGratis,INDEX(CostoFijoTramo,MATCH($D17,TramoPrecioDesde,1))*IF($H17="Full",1-INDEX(DescuentoFull,MATCH($J17,ReputacionList,0)),1),INDEX(CostoEnvioPeso,MATCH($G17,TramoPesoDesde,1))*IF($H17="Full",1-INDEX(DescuentoFull,MATCH($J17,ReputacionList,0)),1))),0))</f>
        <v/>
      </c>
      <c r="O17" s="25" t="str">
        <f aca="false">IF($B17="","",IFERROR($D17*INDEX(CargoCuotas,MATCH($K17,CuotasList,0)),0))</f>
        <v/>
      </c>
      <c r="P17" s="25" t="str">
        <f aca="false">IF($B17="","",M17+N17+O17)</f>
        <v/>
      </c>
      <c r="Q17" s="25" t="str">
        <f aca="false">IF($B17="","",P17*IVAParam)</f>
        <v/>
      </c>
      <c r="R17" s="25" t="str">
        <f aca="false">IF($B17="","",IF($H17="Full",AlmacenFull,0))</f>
        <v/>
      </c>
      <c r="S17" s="25" t="str">
        <f aca="false">IF($B17="","",P17+Q17+R17)</f>
        <v/>
      </c>
      <c r="T17" s="25" t="str">
        <f aca="false">IF($B17="","",$D17*IIBBParam)</f>
        <v/>
      </c>
      <c r="U17" s="25" t="str">
        <f aca="false">IF($B17="","",$D17-$S17)</f>
        <v/>
      </c>
      <c r="V17" s="25" t="str">
        <f aca="false">IF($B17="","",$U17-$E17-$F17)</f>
        <v/>
      </c>
      <c r="W17" s="26" t="str">
        <f aca="false">IF($B17="","",IF($D17=0,0,$V17/$D17))</f>
        <v/>
      </c>
      <c r="X17" s="26" t="str">
        <f aca="false">IF($B17="","",IF(($E17+$F17)=0,0,$V17/($E17+$F17)))</f>
        <v/>
      </c>
    </row>
    <row r="18" customFormat="false" ht="15.75" hidden="false" customHeight="true" outlineLevel="0" collapsed="false">
      <c r="A18" s="5"/>
      <c r="B18" s="5"/>
      <c r="C18" s="5"/>
      <c r="D18" s="10"/>
      <c r="E18" s="10"/>
      <c r="F18" s="10"/>
      <c r="G18" s="11"/>
      <c r="H18" s="5"/>
      <c r="I18" s="5"/>
      <c r="J18" s="5"/>
      <c r="K18" s="5"/>
      <c r="L18" s="24" t="str">
        <f aca="false">IF($B18="","",IFERROR(IF($C18="Premium",INDEX(ComisionPremium,MATCH($B18,CatList,0)),INDEX(ComisionClasica,MATCH($B18,CatList,0))),0))</f>
        <v/>
      </c>
      <c r="M18" s="25" t="str">
        <f aca="false">IF($B18="","",$D18*$L18)</f>
        <v/>
      </c>
      <c r="N18" s="25" t="str">
        <f aca="false">IF($B18="","",IFERROR(IF($I18="No",0,IF($D18&lt;UmbralEnvioGratis,INDEX(CostoFijoTramo,MATCH($D18,TramoPrecioDesde,1))*IF($H18="Full",1-INDEX(DescuentoFull,MATCH($J18,ReputacionList,0)),1),INDEX(CostoEnvioPeso,MATCH($G18,TramoPesoDesde,1))*IF($H18="Full",1-INDEX(DescuentoFull,MATCH($J18,ReputacionList,0)),1))),0))</f>
        <v/>
      </c>
      <c r="O18" s="25" t="str">
        <f aca="false">IF($B18="","",IFERROR($D18*INDEX(CargoCuotas,MATCH($K18,CuotasList,0)),0))</f>
        <v/>
      </c>
      <c r="P18" s="25" t="str">
        <f aca="false">IF($B18="","",M18+N18+O18)</f>
        <v/>
      </c>
      <c r="Q18" s="25" t="str">
        <f aca="false">IF($B18="","",P18*IVAParam)</f>
        <v/>
      </c>
      <c r="R18" s="25" t="str">
        <f aca="false">IF($B18="","",IF($H18="Full",AlmacenFull,0))</f>
        <v/>
      </c>
      <c r="S18" s="25" t="str">
        <f aca="false">IF($B18="","",P18+Q18+R18)</f>
        <v/>
      </c>
      <c r="T18" s="25" t="str">
        <f aca="false">IF($B18="","",$D18*IIBBParam)</f>
        <v/>
      </c>
      <c r="U18" s="25" t="str">
        <f aca="false">IF($B18="","",$D18-$S18)</f>
        <v/>
      </c>
      <c r="V18" s="25" t="str">
        <f aca="false">IF($B18="","",$U18-$E18-$F18)</f>
        <v/>
      </c>
      <c r="W18" s="26" t="str">
        <f aca="false">IF($B18="","",IF($D18=0,0,$V18/$D18))</f>
        <v/>
      </c>
      <c r="X18" s="26" t="str">
        <f aca="false">IF($B18="","",IF(($E18+$F18)=0,0,$V18/($E18+$F18)))</f>
        <v/>
      </c>
    </row>
    <row r="19" customFormat="false" ht="15.75" hidden="false" customHeight="true" outlineLevel="0" collapsed="false">
      <c r="A19" s="5"/>
      <c r="B19" s="5"/>
      <c r="C19" s="5"/>
      <c r="D19" s="10"/>
      <c r="E19" s="10"/>
      <c r="F19" s="10"/>
      <c r="G19" s="11"/>
      <c r="H19" s="5"/>
      <c r="I19" s="5"/>
      <c r="J19" s="5"/>
      <c r="K19" s="5"/>
      <c r="L19" s="24" t="str">
        <f aca="false">IF($B19="","",IFERROR(IF($C19="Premium",INDEX(ComisionPremium,MATCH($B19,CatList,0)),INDEX(ComisionClasica,MATCH($B19,CatList,0))),0))</f>
        <v/>
      </c>
      <c r="M19" s="25" t="str">
        <f aca="false">IF($B19="","",$D19*$L19)</f>
        <v/>
      </c>
      <c r="N19" s="25" t="str">
        <f aca="false">IF($B19="","",IFERROR(IF($I19="No",0,IF($D19&lt;UmbralEnvioGratis,INDEX(CostoFijoTramo,MATCH($D19,TramoPrecioDesde,1))*IF($H19="Full",1-INDEX(DescuentoFull,MATCH($J19,ReputacionList,0)),1),INDEX(CostoEnvioPeso,MATCH($G19,TramoPesoDesde,1))*IF($H19="Full",1-INDEX(DescuentoFull,MATCH($J19,ReputacionList,0)),1))),0))</f>
        <v/>
      </c>
      <c r="O19" s="25" t="str">
        <f aca="false">IF($B19="","",IFERROR($D19*INDEX(CargoCuotas,MATCH($K19,CuotasList,0)),0))</f>
        <v/>
      </c>
      <c r="P19" s="25" t="str">
        <f aca="false">IF($B19="","",M19+N19+O19)</f>
        <v/>
      </c>
      <c r="Q19" s="25" t="str">
        <f aca="false">IF($B19="","",P19*IVAParam)</f>
        <v/>
      </c>
      <c r="R19" s="25" t="str">
        <f aca="false">IF($B19="","",IF($H19="Full",AlmacenFull,0))</f>
        <v/>
      </c>
      <c r="S19" s="25" t="str">
        <f aca="false">IF($B19="","",P19+Q19+R19)</f>
        <v/>
      </c>
      <c r="T19" s="25" t="str">
        <f aca="false">IF($B19="","",$D19*IIBBParam)</f>
        <v/>
      </c>
      <c r="U19" s="25" t="str">
        <f aca="false">IF($B19="","",$D19-$S19)</f>
        <v/>
      </c>
      <c r="V19" s="25" t="str">
        <f aca="false">IF($B19="","",$U19-$E19-$F19)</f>
        <v/>
      </c>
      <c r="W19" s="26" t="str">
        <f aca="false">IF($B19="","",IF($D19=0,0,$V19/$D19))</f>
        <v/>
      </c>
      <c r="X19" s="26" t="str">
        <f aca="false">IF($B19="","",IF(($E19+$F19)=0,0,$V19/($E19+$F19)))</f>
        <v/>
      </c>
    </row>
    <row r="20" customFormat="false" ht="15.75" hidden="false" customHeight="true" outlineLevel="0" collapsed="false">
      <c r="A20" s="5"/>
      <c r="B20" s="5"/>
      <c r="C20" s="5"/>
      <c r="D20" s="10"/>
      <c r="E20" s="10"/>
      <c r="F20" s="10"/>
      <c r="G20" s="11"/>
      <c r="H20" s="5"/>
      <c r="I20" s="5"/>
      <c r="J20" s="5"/>
      <c r="K20" s="5"/>
      <c r="L20" s="24" t="str">
        <f aca="false">IF($B20="","",IFERROR(IF($C20="Premium",INDEX(ComisionPremium,MATCH($B20,CatList,0)),INDEX(ComisionClasica,MATCH($B20,CatList,0))),0))</f>
        <v/>
      </c>
      <c r="M20" s="25" t="str">
        <f aca="false">IF($B20="","",$D20*$L20)</f>
        <v/>
      </c>
      <c r="N20" s="25" t="str">
        <f aca="false">IF($B20="","",IFERROR(IF($I20="No",0,IF($D20&lt;UmbralEnvioGratis,INDEX(CostoFijoTramo,MATCH($D20,TramoPrecioDesde,1))*IF($H20="Full",1-INDEX(DescuentoFull,MATCH($J20,ReputacionList,0)),1),INDEX(CostoEnvioPeso,MATCH($G20,TramoPesoDesde,1))*IF($H20="Full",1-INDEX(DescuentoFull,MATCH($J20,ReputacionList,0)),1))),0))</f>
        <v/>
      </c>
      <c r="O20" s="25" t="str">
        <f aca="false">IF($B20="","",IFERROR($D20*INDEX(CargoCuotas,MATCH($K20,CuotasList,0)),0))</f>
        <v/>
      </c>
      <c r="P20" s="25" t="str">
        <f aca="false">IF($B20="","",M20+N20+O20)</f>
        <v/>
      </c>
      <c r="Q20" s="25" t="str">
        <f aca="false">IF($B20="","",P20*IVAParam)</f>
        <v/>
      </c>
      <c r="R20" s="25" t="str">
        <f aca="false">IF($B20="","",IF($H20="Full",AlmacenFull,0))</f>
        <v/>
      </c>
      <c r="S20" s="25" t="str">
        <f aca="false">IF($B20="","",P20+Q20+R20)</f>
        <v/>
      </c>
      <c r="T20" s="25" t="str">
        <f aca="false">IF($B20="","",$D20*IIBBParam)</f>
        <v/>
      </c>
      <c r="U20" s="25" t="str">
        <f aca="false">IF($B20="","",$D20-$S20)</f>
        <v/>
      </c>
      <c r="V20" s="25" t="str">
        <f aca="false">IF($B20="","",$U20-$E20-$F20)</f>
        <v/>
      </c>
      <c r="W20" s="26" t="str">
        <f aca="false">IF($B20="","",IF($D20=0,0,$V20/$D20))</f>
        <v/>
      </c>
      <c r="X20" s="26" t="str">
        <f aca="false">IF($B20="","",IF(($E20+$F20)=0,0,$V20/($E20+$F20)))</f>
        <v/>
      </c>
    </row>
    <row r="21" customFormat="false" ht="15.75" hidden="false" customHeight="true" outlineLevel="0" collapsed="false">
      <c r="A21" s="5"/>
      <c r="B21" s="5"/>
      <c r="C21" s="5"/>
      <c r="D21" s="10"/>
      <c r="E21" s="10"/>
      <c r="F21" s="10"/>
      <c r="G21" s="11"/>
      <c r="H21" s="5"/>
      <c r="I21" s="5"/>
      <c r="J21" s="5"/>
      <c r="K21" s="5"/>
      <c r="L21" s="24" t="str">
        <f aca="false">IF($B21="","",IFERROR(IF($C21="Premium",INDEX(ComisionPremium,MATCH($B21,CatList,0)),INDEX(ComisionClasica,MATCH($B21,CatList,0))),0))</f>
        <v/>
      </c>
      <c r="M21" s="25" t="str">
        <f aca="false">IF($B21="","",$D21*$L21)</f>
        <v/>
      </c>
      <c r="N21" s="25" t="str">
        <f aca="false">IF($B21="","",IFERROR(IF($I21="No",0,IF($D21&lt;UmbralEnvioGratis,INDEX(CostoFijoTramo,MATCH($D21,TramoPrecioDesde,1))*IF($H21="Full",1-INDEX(DescuentoFull,MATCH($J21,ReputacionList,0)),1),INDEX(CostoEnvioPeso,MATCH($G21,TramoPesoDesde,1))*IF($H21="Full",1-INDEX(DescuentoFull,MATCH($J21,ReputacionList,0)),1))),0))</f>
        <v/>
      </c>
      <c r="O21" s="25" t="str">
        <f aca="false">IF($B21="","",IFERROR($D21*INDEX(CargoCuotas,MATCH($K21,CuotasList,0)),0))</f>
        <v/>
      </c>
      <c r="P21" s="25" t="str">
        <f aca="false">IF($B21="","",M21+N21+O21)</f>
        <v/>
      </c>
      <c r="Q21" s="25" t="str">
        <f aca="false">IF($B21="","",P21*IVAParam)</f>
        <v/>
      </c>
      <c r="R21" s="25" t="str">
        <f aca="false">IF($B21="","",IF($H21="Full",AlmacenFull,0))</f>
        <v/>
      </c>
      <c r="S21" s="25" t="str">
        <f aca="false">IF($B21="","",P21+Q21+R21)</f>
        <v/>
      </c>
      <c r="T21" s="25" t="str">
        <f aca="false">IF($B21="","",$D21*IIBBParam)</f>
        <v/>
      </c>
      <c r="U21" s="25" t="str">
        <f aca="false">IF($B21="","",$D21-$S21)</f>
        <v/>
      </c>
      <c r="V21" s="25" t="str">
        <f aca="false">IF($B21="","",$U21-$E21-$F21)</f>
        <v/>
      </c>
      <c r="W21" s="26" t="str">
        <f aca="false">IF($B21="","",IF($D21=0,0,$V21/$D21))</f>
        <v/>
      </c>
      <c r="X21" s="26" t="str">
        <f aca="false">IF($B21="","",IF(($E21+$F21)=0,0,$V21/($E21+$F21)))</f>
        <v/>
      </c>
    </row>
    <row r="22" customFormat="false" ht="15.75" hidden="false" customHeight="true" outlineLevel="0" collapsed="false">
      <c r="A22" s="5"/>
      <c r="B22" s="5"/>
      <c r="C22" s="5"/>
      <c r="D22" s="10"/>
      <c r="E22" s="10"/>
      <c r="F22" s="10"/>
      <c r="G22" s="11"/>
      <c r="H22" s="5"/>
      <c r="I22" s="5"/>
      <c r="J22" s="5"/>
      <c r="K22" s="5"/>
      <c r="L22" s="24" t="str">
        <f aca="false">IF($B22="","",IFERROR(IF($C22="Premium",INDEX(ComisionPremium,MATCH($B22,CatList,0)),INDEX(ComisionClasica,MATCH($B22,CatList,0))),0))</f>
        <v/>
      </c>
      <c r="M22" s="25" t="str">
        <f aca="false">IF($B22="","",$D22*$L22)</f>
        <v/>
      </c>
      <c r="N22" s="25" t="str">
        <f aca="false">IF($B22="","",IFERROR(IF($I22="No",0,IF($D22&lt;UmbralEnvioGratis,INDEX(CostoFijoTramo,MATCH($D22,TramoPrecioDesde,1))*IF($H22="Full",1-INDEX(DescuentoFull,MATCH($J22,ReputacionList,0)),1),INDEX(CostoEnvioPeso,MATCH($G22,TramoPesoDesde,1))*IF($H22="Full",1-INDEX(DescuentoFull,MATCH($J22,ReputacionList,0)),1))),0))</f>
        <v/>
      </c>
      <c r="O22" s="25" t="str">
        <f aca="false">IF($B22="","",IFERROR($D22*INDEX(CargoCuotas,MATCH($K22,CuotasList,0)),0))</f>
        <v/>
      </c>
      <c r="P22" s="25" t="str">
        <f aca="false">IF($B22="","",M22+N22+O22)</f>
        <v/>
      </c>
      <c r="Q22" s="25" t="str">
        <f aca="false">IF($B22="","",P22*IVAParam)</f>
        <v/>
      </c>
      <c r="R22" s="25" t="str">
        <f aca="false">IF($B22="","",IF($H22="Full",AlmacenFull,0))</f>
        <v/>
      </c>
      <c r="S22" s="25" t="str">
        <f aca="false">IF($B22="","",P22+Q22+R22)</f>
        <v/>
      </c>
      <c r="T22" s="25" t="str">
        <f aca="false">IF($B22="","",$D22*IIBBParam)</f>
        <v/>
      </c>
      <c r="U22" s="25" t="str">
        <f aca="false">IF($B22="","",$D22-$S22)</f>
        <v/>
      </c>
      <c r="V22" s="25" t="str">
        <f aca="false">IF($B22="","",$U22-$E22-$F22)</f>
        <v/>
      </c>
      <c r="W22" s="26" t="str">
        <f aca="false">IF($B22="","",IF($D22=0,0,$V22/$D22))</f>
        <v/>
      </c>
      <c r="X22" s="26" t="str">
        <f aca="false">IF($B22="","",IF(($E22+$F22)=0,0,$V22/($E22+$F22)))</f>
        <v/>
      </c>
    </row>
    <row r="23" customFormat="false" ht="15.75" hidden="false" customHeight="true" outlineLevel="0" collapsed="false">
      <c r="A23" s="5"/>
      <c r="B23" s="5"/>
      <c r="C23" s="5"/>
      <c r="D23" s="10"/>
      <c r="E23" s="10"/>
      <c r="F23" s="10"/>
      <c r="G23" s="11"/>
      <c r="H23" s="5"/>
      <c r="I23" s="5"/>
      <c r="J23" s="5"/>
      <c r="K23" s="5"/>
      <c r="L23" s="24" t="str">
        <f aca="false">IF($B23="","",IFERROR(IF($C23="Premium",INDEX(ComisionPremium,MATCH($B23,CatList,0)),INDEX(ComisionClasica,MATCH($B23,CatList,0))),0))</f>
        <v/>
      </c>
      <c r="M23" s="25" t="str">
        <f aca="false">IF($B23="","",$D23*$L23)</f>
        <v/>
      </c>
      <c r="N23" s="25" t="str">
        <f aca="false">IF($B23="","",IFERROR(IF($I23="No",0,IF($D23&lt;UmbralEnvioGratis,INDEX(CostoFijoTramo,MATCH($D23,TramoPrecioDesde,1))*IF($H23="Full",1-INDEX(DescuentoFull,MATCH($J23,ReputacionList,0)),1),INDEX(CostoEnvioPeso,MATCH($G23,TramoPesoDesde,1))*IF($H23="Full",1-INDEX(DescuentoFull,MATCH($J23,ReputacionList,0)),1))),0))</f>
        <v/>
      </c>
      <c r="O23" s="25" t="str">
        <f aca="false">IF($B23="","",IFERROR($D23*INDEX(CargoCuotas,MATCH($K23,CuotasList,0)),0))</f>
        <v/>
      </c>
      <c r="P23" s="25" t="str">
        <f aca="false">IF($B23="","",M23+N23+O23)</f>
        <v/>
      </c>
      <c r="Q23" s="25" t="str">
        <f aca="false">IF($B23="","",P23*IVAParam)</f>
        <v/>
      </c>
      <c r="R23" s="25" t="str">
        <f aca="false">IF($B23="","",IF($H23="Full",AlmacenFull,0))</f>
        <v/>
      </c>
      <c r="S23" s="25" t="str">
        <f aca="false">IF($B23="","",P23+Q23+R23)</f>
        <v/>
      </c>
      <c r="T23" s="25" t="str">
        <f aca="false">IF($B23="","",$D23*IIBBParam)</f>
        <v/>
      </c>
      <c r="U23" s="25" t="str">
        <f aca="false">IF($B23="","",$D23-$S23)</f>
        <v/>
      </c>
      <c r="V23" s="25" t="str">
        <f aca="false">IF($B23="","",$U23-$E23-$F23)</f>
        <v/>
      </c>
      <c r="W23" s="26" t="str">
        <f aca="false">IF($B23="","",IF($D23=0,0,$V23/$D23))</f>
        <v/>
      </c>
      <c r="X23" s="26" t="str">
        <f aca="false">IF($B23="","",IF(($E23+$F23)=0,0,$V23/($E23+$F23)))</f>
        <v/>
      </c>
    </row>
    <row r="24" customFormat="false" ht="15.75" hidden="false" customHeight="true" outlineLevel="0" collapsed="false">
      <c r="A24" s="5"/>
      <c r="B24" s="5"/>
      <c r="C24" s="5"/>
      <c r="D24" s="10"/>
      <c r="E24" s="10"/>
      <c r="F24" s="10"/>
      <c r="G24" s="11"/>
      <c r="H24" s="5"/>
      <c r="I24" s="5"/>
      <c r="J24" s="5"/>
      <c r="K24" s="5"/>
      <c r="L24" s="24" t="str">
        <f aca="false">IF($B24="","",IFERROR(IF($C24="Premium",INDEX(ComisionPremium,MATCH($B24,CatList,0)),INDEX(ComisionClasica,MATCH($B24,CatList,0))),0))</f>
        <v/>
      </c>
      <c r="M24" s="25" t="str">
        <f aca="false">IF($B24="","",$D24*$L24)</f>
        <v/>
      </c>
      <c r="N24" s="25" t="str">
        <f aca="false">IF($B24="","",IFERROR(IF($I24="No",0,IF($D24&lt;UmbralEnvioGratis,INDEX(CostoFijoTramo,MATCH($D24,TramoPrecioDesde,1))*IF($H24="Full",1-INDEX(DescuentoFull,MATCH($J24,ReputacionList,0)),1),INDEX(CostoEnvioPeso,MATCH($G24,TramoPesoDesde,1))*IF($H24="Full",1-INDEX(DescuentoFull,MATCH($J24,ReputacionList,0)),1))),0))</f>
        <v/>
      </c>
      <c r="O24" s="25" t="str">
        <f aca="false">IF($B24="","",IFERROR($D24*INDEX(CargoCuotas,MATCH($K24,CuotasList,0)),0))</f>
        <v/>
      </c>
      <c r="P24" s="25" t="str">
        <f aca="false">IF($B24="","",M24+N24+O24)</f>
        <v/>
      </c>
      <c r="Q24" s="25" t="str">
        <f aca="false">IF($B24="","",P24*IVAParam)</f>
        <v/>
      </c>
      <c r="R24" s="25" t="str">
        <f aca="false">IF($B24="","",IF($H24="Full",AlmacenFull,0))</f>
        <v/>
      </c>
      <c r="S24" s="25" t="str">
        <f aca="false">IF($B24="","",P24+Q24+R24)</f>
        <v/>
      </c>
      <c r="T24" s="25" t="str">
        <f aca="false">IF($B24="","",$D24*IIBBParam)</f>
        <v/>
      </c>
      <c r="U24" s="25" t="str">
        <f aca="false">IF($B24="","",$D24-$S24)</f>
        <v/>
      </c>
      <c r="V24" s="25" t="str">
        <f aca="false">IF($B24="","",$U24-$E24-$F24)</f>
        <v/>
      </c>
      <c r="W24" s="26" t="str">
        <f aca="false">IF($B24="","",IF($D24=0,0,$V24/$D24))</f>
        <v/>
      </c>
      <c r="X24" s="26" t="str">
        <f aca="false">IF($B24="","",IF(($E24+$F24)=0,0,$V24/($E24+$F24)))</f>
        <v/>
      </c>
    </row>
    <row r="25" customFormat="false" ht="15.75" hidden="false" customHeight="true" outlineLevel="0" collapsed="false">
      <c r="A25" s="5"/>
      <c r="B25" s="5"/>
      <c r="C25" s="5"/>
      <c r="D25" s="10"/>
      <c r="E25" s="10"/>
      <c r="F25" s="10"/>
      <c r="G25" s="11"/>
      <c r="H25" s="5"/>
      <c r="I25" s="5"/>
      <c r="J25" s="5"/>
      <c r="K25" s="5"/>
      <c r="L25" s="24" t="str">
        <f aca="false">IF($B25="","",IFERROR(IF($C25="Premium",INDEX(ComisionPremium,MATCH($B25,CatList,0)),INDEX(ComisionClasica,MATCH($B25,CatList,0))),0))</f>
        <v/>
      </c>
      <c r="M25" s="25" t="str">
        <f aca="false">IF($B25="","",$D25*$L25)</f>
        <v/>
      </c>
      <c r="N25" s="25" t="str">
        <f aca="false">IF($B25="","",IFERROR(IF($I25="No",0,IF($D25&lt;UmbralEnvioGratis,INDEX(CostoFijoTramo,MATCH($D25,TramoPrecioDesde,1))*IF($H25="Full",1-INDEX(DescuentoFull,MATCH($J25,ReputacionList,0)),1),INDEX(CostoEnvioPeso,MATCH($G25,TramoPesoDesde,1))*IF($H25="Full",1-INDEX(DescuentoFull,MATCH($J25,ReputacionList,0)),1))),0))</f>
        <v/>
      </c>
      <c r="O25" s="25" t="str">
        <f aca="false">IF($B25="","",IFERROR($D25*INDEX(CargoCuotas,MATCH($K25,CuotasList,0)),0))</f>
        <v/>
      </c>
      <c r="P25" s="25" t="str">
        <f aca="false">IF($B25="","",M25+N25+O25)</f>
        <v/>
      </c>
      <c r="Q25" s="25" t="str">
        <f aca="false">IF($B25="","",P25*IVAParam)</f>
        <v/>
      </c>
      <c r="R25" s="25" t="str">
        <f aca="false">IF($B25="","",IF($H25="Full",AlmacenFull,0))</f>
        <v/>
      </c>
      <c r="S25" s="25" t="str">
        <f aca="false">IF($B25="","",P25+Q25+R25)</f>
        <v/>
      </c>
      <c r="T25" s="25" t="str">
        <f aca="false">IF($B25="","",$D25*IIBBParam)</f>
        <v/>
      </c>
      <c r="U25" s="25" t="str">
        <f aca="false">IF($B25="","",$D25-$S25)</f>
        <v/>
      </c>
      <c r="V25" s="25" t="str">
        <f aca="false">IF($B25="","",$U25-$E25-$F25)</f>
        <v/>
      </c>
      <c r="W25" s="26" t="str">
        <f aca="false">IF($B25="","",IF($D25=0,0,$V25/$D25))</f>
        <v/>
      </c>
      <c r="X25" s="26" t="str">
        <f aca="false">IF($B25="","",IF(($E25+$F25)=0,0,$V25/($E25+$F25)))</f>
        <v/>
      </c>
    </row>
    <row r="26" customFormat="false" ht="15.75" hidden="false" customHeight="true" outlineLevel="0" collapsed="false">
      <c r="A26" s="5"/>
      <c r="B26" s="5"/>
      <c r="C26" s="5"/>
      <c r="D26" s="10"/>
      <c r="E26" s="10"/>
      <c r="F26" s="10"/>
      <c r="G26" s="11"/>
      <c r="H26" s="5"/>
      <c r="I26" s="5"/>
      <c r="J26" s="5"/>
      <c r="K26" s="5"/>
      <c r="L26" s="24" t="str">
        <f aca="false">IF($B26="","",IFERROR(IF($C26="Premium",INDEX(ComisionPremium,MATCH($B26,CatList,0)),INDEX(ComisionClasica,MATCH($B26,CatList,0))),0))</f>
        <v/>
      </c>
      <c r="M26" s="25" t="str">
        <f aca="false">IF($B26="","",$D26*$L26)</f>
        <v/>
      </c>
      <c r="N26" s="25" t="str">
        <f aca="false">IF($B26="","",IFERROR(IF($I26="No",0,IF($D26&lt;UmbralEnvioGratis,INDEX(CostoFijoTramo,MATCH($D26,TramoPrecioDesde,1))*IF($H26="Full",1-INDEX(DescuentoFull,MATCH($J26,ReputacionList,0)),1),INDEX(CostoEnvioPeso,MATCH($G26,TramoPesoDesde,1))*IF($H26="Full",1-INDEX(DescuentoFull,MATCH($J26,ReputacionList,0)),1))),0))</f>
        <v/>
      </c>
      <c r="O26" s="25" t="str">
        <f aca="false">IF($B26="","",IFERROR($D26*INDEX(CargoCuotas,MATCH($K26,CuotasList,0)),0))</f>
        <v/>
      </c>
      <c r="P26" s="25" t="str">
        <f aca="false">IF($B26="","",M26+N26+O26)</f>
        <v/>
      </c>
      <c r="Q26" s="25" t="str">
        <f aca="false">IF($B26="","",P26*IVAParam)</f>
        <v/>
      </c>
      <c r="R26" s="25" t="str">
        <f aca="false">IF($B26="","",IF($H26="Full",AlmacenFull,0))</f>
        <v/>
      </c>
      <c r="S26" s="25" t="str">
        <f aca="false">IF($B26="","",P26+Q26+R26)</f>
        <v/>
      </c>
      <c r="T26" s="25" t="str">
        <f aca="false">IF($B26="","",$D26*IIBBParam)</f>
        <v/>
      </c>
      <c r="U26" s="25" t="str">
        <f aca="false">IF($B26="","",$D26-$S26)</f>
        <v/>
      </c>
      <c r="V26" s="25" t="str">
        <f aca="false">IF($B26="","",$U26-$E26-$F26)</f>
        <v/>
      </c>
      <c r="W26" s="26" t="str">
        <f aca="false">IF($B26="","",IF($D26=0,0,$V26/$D26))</f>
        <v/>
      </c>
      <c r="X26" s="26" t="str">
        <f aca="false">IF($B26="","",IF(($E26+$F26)=0,0,$V26/($E26+$F26)))</f>
        <v/>
      </c>
    </row>
    <row r="27" customFormat="false" ht="15.75" hidden="false" customHeight="true" outlineLevel="0" collapsed="false">
      <c r="A27" s="5"/>
      <c r="B27" s="5"/>
      <c r="C27" s="5"/>
      <c r="D27" s="10"/>
      <c r="E27" s="10"/>
      <c r="F27" s="10"/>
      <c r="G27" s="11"/>
      <c r="H27" s="5"/>
      <c r="I27" s="5"/>
      <c r="J27" s="5"/>
      <c r="K27" s="5"/>
      <c r="L27" s="24" t="str">
        <f aca="false">IF($B27="","",IFERROR(IF($C27="Premium",INDEX(ComisionPremium,MATCH($B27,CatList,0)),INDEX(ComisionClasica,MATCH($B27,CatList,0))),0))</f>
        <v/>
      </c>
      <c r="M27" s="25" t="str">
        <f aca="false">IF($B27="","",$D27*$L27)</f>
        <v/>
      </c>
      <c r="N27" s="25" t="str">
        <f aca="false">IF($B27="","",IFERROR(IF($I27="No",0,IF($D27&lt;UmbralEnvioGratis,INDEX(CostoFijoTramo,MATCH($D27,TramoPrecioDesde,1))*IF($H27="Full",1-INDEX(DescuentoFull,MATCH($J27,ReputacionList,0)),1),INDEX(CostoEnvioPeso,MATCH($G27,TramoPesoDesde,1))*IF($H27="Full",1-INDEX(DescuentoFull,MATCH($J27,ReputacionList,0)),1))),0))</f>
        <v/>
      </c>
      <c r="O27" s="25" t="str">
        <f aca="false">IF($B27="","",IFERROR($D27*INDEX(CargoCuotas,MATCH($K27,CuotasList,0)),0))</f>
        <v/>
      </c>
      <c r="P27" s="25" t="str">
        <f aca="false">IF($B27="","",M27+N27+O27)</f>
        <v/>
      </c>
      <c r="Q27" s="25" t="str">
        <f aca="false">IF($B27="","",P27*IVAParam)</f>
        <v/>
      </c>
      <c r="R27" s="25" t="str">
        <f aca="false">IF($B27="","",IF($H27="Full",AlmacenFull,0))</f>
        <v/>
      </c>
      <c r="S27" s="25" t="str">
        <f aca="false">IF($B27="","",P27+Q27+R27)</f>
        <v/>
      </c>
      <c r="T27" s="25" t="str">
        <f aca="false">IF($B27="","",$D27*IIBBParam)</f>
        <v/>
      </c>
      <c r="U27" s="25" t="str">
        <f aca="false">IF($B27="","",$D27-$S27)</f>
        <v/>
      </c>
      <c r="V27" s="25" t="str">
        <f aca="false">IF($B27="","",$U27-$E27-$F27)</f>
        <v/>
      </c>
      <c r="W27" s="26" t="str">
        <f aca="false">IF($B27="","",IF($D27=0,0,$V27/$D27))</f>
        <v/>
      </c>
      <c r="X27" s="26" t="str">
        <f aca="false">IF($B27="","",IF(($E27+$F27)=0,0,$V27/($E27+$F27)))</f>
        <v/>
      </c>
    </row>
    <row r="28" customFormat="false" ht="15.75" hidden="false" customHeight="true" outlineLevel="0" collapsed="false">
      <c r="A28" s="5"/>
      <c r="B28" s="5"/>
      <c r="C28" s="5"/>
      <c r="D28" s="10"/>
      <c r="E28" s="10"/>
      <c r="F28" s="10"/>
      <c r="G28" s="11"/>
      <c r="H28" s="5"/>
      <c r="I28" s="5"/>
      <c r="J28" s="5"/>
      <c r="K28" s="5"/>
      <c r="L28" s="24" t="str">
        <f aca="false">IF($B28="","",IFERROR(IF($C28="Premium",INDEX(ComisionPremium,MATCH($B28,CatList,0)),INDEX(ComisionClasica,MATCH($B28,CatList,0))),0))</f>
        <v/>
      </c>
      <c r="M28" s="25" t="str">
        <f aca="false">IF($B28="","",$D28*$L28)</f>
        <v/>
      </c>
      <c r="N28" s="25" t="str">
        <f aca="false">IF($B28="","",IFERROR(IF($I28="No",0,IF($D28&lt;UmbralEnvioGratis,INDEX(CostoFijoTramo,MATCH($D28,TramoPrecioDesde,1))*IF($H28="Full",1-INDEX(DescuentoFull,MATCH($J28,ReputacionList,0)),1),INDEX(CostoEnvioPeso,MATCH($G28,TramoPesoDesde,1))*IF($H28="Full",1-INDEX(DescuentoFull,MATCH($J28,ReputacionList,0)),1))),0))</f>
        <v/>
      </c>
      <c r="O28" s="25" t="str">
        <f aca="false">IF($B28="","",IFERROR($D28*INDEX(CargoCuotas,MATCH($K28,CuotasList,0)),0))</f>
        <v/>
      </c>
      <c r="P28" s="25" t="str">
        <f aca="false">IF($B28="","",M28+N28+O28)</f>
        <v/>
      </c>
      <c r="Q28" s="25" t="str">
        <f aca="false">IF($B28="","",P28*IVAParam)</f>
        <v/>
      </c>
      <c r="R28" s="25" t="str">
        <f aca="false">IF($B28="","",IF($H28="Full",AlmacenFull,0))</f>
        <v/>
      </c>
      <c r="S28" s="25" t="str">
        <f aca="false">IF($B28="","",P28+Q28+R28)</f>
        <v/>
      </c>
      <c r="T28" s="25" t="str">
        <f aca="false">IF($B28="","",$D28*IIBBParam)</f>
        <v/>
      </c>
      <c r="U28" s="25" t="str">
        <f aca="false">IF($B28="","",$D28-$S28)</f>
        <v/>
      </c>
      <c r="V28" s="25" t="str">
        <f aca="false">IF($B28="","",$U28-$E28-$F28)</f>
        <v/>
      </c>
      <c r="W28" s="26" t="str">
        <f aca="false">IF($B28="","",IF($D28=0,0,$V28/$D28))</f>
        <v/>
      </c>
      <c r="X28" s="26" t="str">
        <f aca="false">IF($B28="","",IF(($E28+$F28)=0,0,$V28/($E28+$F28)))</f>
        <v/>
      </c>
    </row>
    <row r="29" customFormat="false" ht="15.75" hidden="false" customHeight="true" outlineLevel="0" collapsed="false">
      <c r="A29" s="5"/>
      <c r="B29" s="5"/>
      <c r="C29" s="5"/>
      <c r="D29" s="10"/>
      <c r="E29" s="10"/>
      <c r="F29" s="10"/>
      <c r="G29" s="11"/>
      <c r="H29" s="5"/>
      <c r="I29" s="5"/>
      <c r="J29" s="5"/>
      <c r="K29" s="5"/>
      <c r="L29" s="24" t="str">
        <f aca="false">IF($B29="","",IFERROR(IF($C29="Premium",INDEX(ComisionPremium,MATCH($B29,CatList,0)),INDEX(ComisionClasica,MATCH($B29,CatList,0))),0))</f>
        <v/>
      </c>
      <c r="M29" s="25" t="str">
        <f aca="false">IF($B29="","",$D29*$L29)</f>
        <v/>
      </c>
      <c r="N29" s="25" t="str">
        <f aca="false">IF($B29="","",IFERROR(IF($I29="No",0,IF($D29&lt;UmbralEnvioGratis,INDEX(CostoFijoTramo,MATCH($D29,TramoPrecioDesde,1))*IF($H29="Full",1-INDEX(DescuentoFull,MATCH($J29,ReputacionList,0)),1),INDEX(CostoEnvioPeso,MATCH($G29,TramoPesoDesde,1))*IF($H29="Full",1-INDEX(DescuentoFull,MATCH($J29,ReputacionList,0)),1))),0))</f>
        <v/>
      </c>
      <c r="O29" s="25" t="str">
        <f aca="false">IF($B29="","",IFERROR($D29*INDEX(CargoCuotas,MATCH($K29,CuotasList,0)),0))</f>
        <v/>
      </c>
      <c r="P29" s="25" t="str">
        <f aca="false">IF($B29="","",M29+N29+O29)</f>
        <v/>
      </c>
      <c r="Q29" s="25" t="str">
        <f aca="false">IF($B29="","",P29*IVAParam)</f>
        <v/>
      </c>
      <c r="R29" s="25" t="str">
        <f aca="false">IF($B29="","",IF($H29="Full",AlmacenFull,0))</f>
        <v/>
      </c>
      <c r="S29" s="25" t="str">
        <f aca="false">IF($B29="","",P29+Q29+R29)</f>
        <v/>
      </c>
      <c r="T29" s="25" t="str">
        <f aca="false">IF($B29="","",$D29*IIBBParam)</f>
        <v/>
      </c>
      <c r="U29" s="25" t="str">
        <f aca="false">IF($B29="","",$D29-$S29)</f>
        <v/>
      </c>
      <c r="V29" s="25" t="str">
        <f aca="false">IF($B29="","",$U29-$E29-$F29)</f>
        <v/>
      </c>
      <c r="W29" s="26" t="str">
        <f aca="false">IF($B29="","",IF($D29=0,0,$V29/$D29))</f>
        <v/>
      </c>
      <c r="X29" s="26" t="str">
        <f aca="false">IF($B29="","",IF(($E29+$F29)=0,0,$V29/($E29+$F29)))</f>
        <v/>
      </c>
    </row>
  </sheetData>
  <mergeCells count="3">
    <mergeCell ref="A1:X1"/>
    <mergeCell ref="A2:X2"/>
    <mergeCell ref="A3:X3"/>
  </mergeCells>
  <conditionalFormatting sqref="W6:X29">
    <cfRule type="colorScale" priority="2">
      <colorScale>
        <cfvo type="num" val="-0.1"/>
        <cfvo type="num" val="0.15"/>
        <cfvo type="num" val="0.4"/>
        <color rgb="FFF8696B"/>
        <color rgb="FFFFEB84"/>
        <color rgb="FF63BE7B"/>
      </colorScale>
    </cfRule>
  </conditionalFormatting>
  <dataValidations count="6">
    <dataValidation allowBlank="true" errorStyle="stop" operator="between" showDropDown="false" showErrorMessage="false" showInputMessage="false" sqref="B6:B29" type="list">
      <formula1>CatList</formula1>
      <formula2>0</formula2>
    </dataValidation>
    <dataValidation allowBlank="true" errorStyle="stop" operator="between" showDropDown="false" showErrorMessage="false" showInputMessage="false" sqref="C6:C29" type="list">
      <formula1>"Clásica,Premium"</formula1>
      <formula2>0</formula2>
    </dataValidation>
    <dataValidation allowBlank="true" errorStyle="stop" operator="between" showDropDown="false" showErrorMessage="false" showInputMessage="false" sqref="H6:H29" type="list">
      <formula1>"Full,Mercado Envíos (sin Full),Retiro en punto/sucursal (sin envío)"</formula1>
      <formula2>0</formula2>
    </dataValidation>
    <dataValidation allowBlank="true" errorStyle="stop" operator="between" showDropDown="false" showErrorMessage="false" showInputMessage="false" sqref="I6:I29" type="list">
      <formula1>"Sí,No"</formula1>
      <formula2>0</formula2>
    </dataValidation>
    <dataValidation allowBlank="true" errorStyle="stop" operator="between" showDropDown="false" showErrorMessage="false" showInputMessage="false" sqref="J6:J29" type="list">
      <formula1>ReputacionList</formula1>
      <formula2>0</formula2>
    </dataValidation>
    <dataValidation allowBlank="true" errorStyle="stop" operator="between" showDropDown="false" showErrorMessage="false" showInputMessage="false" sqref="K6:K29" type="list">
      <formula1>CuotasList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0"/>
  </cols>
  <sheetData>
    <row r="1" customFormat="false" ht="25.5" hidden="false" customHeight="true" outlineLevel="0" collapsed="false">
      <c r="A1" s="27" t="s">
        <v>80</v>
      </c>
    </row>
    <row r="3" customFormat="false" ht="19.5" hidden="false" customHeight="true" outlineLevel="0" collapsed="false">
      <c r="A3" s="28" t="s">
        <v>81</v>
      </c>
    </row>
    <row r="4" customFormat="false" ht="45" hidden="false" customHeight="true" outlineLevel="0" collapsed="false">
      <c r="A4" s="29" t="s">
        <v>82</v>
      </c>
    </row>
    <row r="5" customFormat="false" ht="60" hidden="false" customHeight="true" outlineLevel="0" collapsed="false">
      <c r="A5" s="29" t="s">
        <v>83</v>
      </c>
    </row>
    <row r="6" customFormat="false" ht="45" hidden="false" customHeight="true" outlineLevel="0" collapsed="false">
      <c r="A6" s="29" t="s">
        <v>84</v>
      </c>
    </row>
    <row r="8" customFormat="false" ht="19.5" hidden="false" customHeight="true" outlineLevel="0" collapsed="false">
      <c r="A8" s="28" t="s">
        <v>85</v>
      </c>
    </row>
    <row r="9" customFormat="false" ht="30" hidden="false" customHeight="true" outlineLevel="0" collapsed="false">
      <c r="A9" s="29" t="s">
        <v>86</v>
      </c>
    </row>
    <row r="10" customFormat="false" ht="30" hidden="false" customHeight="true" outlineLevel="0" collapsed="false">
      <c r="A10" s="29" t="s">
        <v>87</v>
      </c>
    </row>
    <row r="11" customFormat="false" ht="30" hidden="false" customHeight="true" outlineLevel="0" collapsed="false">
      <c r="A11" s="29" t="s">
        <v>88</v>
      </c>
    </row>
    <row r="12" customFormat="false" ht="30" hidden="false" customHeight="true" outlineLevel="0" collapsed="false">
      <c r="A12" s="29" t="s">
        <v>89</v>
      </c>
    </row>
    <row r="13" customFormat="false" ht="45" hidden="false" customHeight="true" outlineLevel="0" collapsed="false">
      <c r="A13" s="29" t="s">
        <v>90</v>
      </c>
    </row>
    <row r="14" customFormat="false" ht="19.5" hidden="false" customHeight="true" outlineLevel="0" collapsed="false">
      <c r="A14" s="29" t="s">
        <v>91</v>
      </c>
    </row>
    <row r="16" customFormat="false" ht="19.5" hidden="false" customHeight="true" outlineLevel="0" collapsed="false">
      <c r="A16" s="28" t="s">
        <v>92</v>
      </c>
    </row>
    <row r="17" customFormat="false" ht="15" hidden="false" customHeight="true" outlineLevel="0" collapsed="false">
      <c r="A17" s="30" t="s">
        <v>93</v>
      </c>
    </row>
    <row r="18" customFormat="false" ht="15" hidden="false" customHeight="true" outlineLevel="0" collapsed="false">
      <c r="A18" s="30" t="s">
        <v>94</v>
      </c>
    </row>
    <row r="19" customFormat="false" ht="15" hidden="false" customHeight="true" outlineLevel="0" collapsed="false">
      <c r="A19" s="30" t="s">
        <v>95</v>
      </c>
    </row>
    <row r="20" customFormat="false" ht="15" hidden="false" customHeight="true" outlineLevel="0" collapsed="false">
      <c r="A20" s="30" t="s">
        <v>96</v>
      </c>
    </row>
    <row r="21" customFormat="false" ht="15" hidden="false" customHeight="true" outlineLevel="0" collapsed="false">
      <c r="A21" s="30" t="s">
        <v>97</v>
      </c>
    </row>
    <row r="22" customFormat="false" ht="15" hidden="false" customHeight="true" outlineLevel="0" collapsed="false">
      <c r="A22" s="30" t="s">
        <v>98</v>
      </c>
    </row>
    <row r="23" customFormat="false" ht="15" hidden="false" customHeight="true" outlineLevel="0" collapsed="false">
      <c r="A23" s="30" t="s">
        <v>99</v>
      </c>
    </row>
    <row r="24" customFormat="false" ht="15" hidden="false" customHeight="true" outlineLevel="0" collapsed="false">
      <c r="A24" s="30" t="s">
        <v>100</v>
      </c>
    </row>
    <row r="25" customFormat="false" ht="15" hidden="false" customHeight="true" outlineLevel="0" collapsed="false">
      <c r="A25" s="30" t="s">
        <v>101</v>
      </c>
    </row>
    <row r="26" customFormat="false" ht="15" hidden="false" customHeight="true" outlineLevel="0" collapsed="false">
      <c r="A26" s="30" t="s">
        <v>102</v>
      </c>
    </row>
    <row r="27" customFormat="false" ht="15" hidden="false" customHeight="true" outlineLevel="0" collapsed="false">
      <c r="A27" s="30" t="s">
        <v>103</v>
      </c>
    </row>
    <row r="28" customFormat="false" ht="15" hidden="false" customHeight="true" outlineLevel="0" collapsed="false">
      <c r="A28" s="30" t="s">
        <v>104</v>
      </c>
    </row>
    <row r="29" customFormat="false" ht="15" hidden="false" customHeight="true" outlineLevel="0" collapsed="false">
      <c r="A29" s="30" t="s">
        <v>105</v>
      </c>
    </row>
    <row r="30" customFormat="false" ht="15" hidden="false" customHeight="true" outlineLevel="0" collapsed="false">
      <c r="A30" s="30" t="s">
        <v>106</v>
      </c>
    </row>
    <row r="31" customFormat="false" ht="15" hidden="false" customHeight="true" outlineLevel="0" collapsed="false">
      <c r="A31" s="30" t="s">
        <v>107</v>
      </c>
    </row>
    <row r="32" customFormat="false" ht="15" hidden="false" customHeight="true" outlineLevel="0" collapsed="false">
      <c r="A32" s="30" t="s">
        <v>108</v>
      </c>
    </row>
    <row r="34" customFormat="false" ht="30" hidden="false" customHeight="true" outlineLevel="0" collapsed="false">
      <c r="A34" s="29" t="s">
        <v>109</v>
      </c>
    </row>
  </sheetData>
  <hyperlinks>
    <hyperlink ref="A17" r:id="rId1" display="Costos de ofrecer envío gratis — Ayuda oficial Mercado Libre"/>
    <hyperlink ref="A18" r:id="rId2" display="Costo por unidad vendida (Full, correo, colecta, puntos de despacho) — Ayuda oficial Mercado Libre"/>
    <hyperlink ref="A19" r:id="rId3" display="Costos por vender — Mercado Libre Developers"/>
    <hyperlink ref="A20" r:id="rId4" display="Cómo revisar tus costos diarios por almacenar stock en Full — Mercado Libre Vendedores"/>
    <hyperlink ref="A21" r:id="rId5" display="Vender con Full — Mercado Envíos"/>
    <hyperlink ref="A22" r:id="rId6" display="Comisiones MercadoLibre 2026: Tabla por Categoría — SpomBridge"/>
    <hyperlink ref="A23" r:id="rId7" display="Comisiones de Mercado Libre 2026: tabla por categoría y país — Jaguar Sheet"/>
    <hyperlink ref="A24" r:id="rId8" display="Comisiones Mercado Libre 2026: Tabla por Categoría — DigitalSellers"/>
    <hyperlink ref="A25" r:id="rId9" display="¿Cuánto cobra Mercado Libre Argentina por vender? — WooSync"/>
    <hyperlink ref="A26" r:id="rId10" display="¿Cuánto cuesta vender en Mercado Libre en Argentina? — Base"/>
    <hyperlink ref="A27" r:id="rId11" display="Cambios de costos, tarifas y envíos en Mercado Libre Argentina 2025 — Academia Nubimetrics"/>
    <hyperlink ref="A28" r:id="rId12" display="Cuánto cobra realmente Mercado Libre en 2026 (comisiones + IVA) — MargenKit"/>
    <hyperlink ref="A29" r:id="rId13" display="Mercado Libre desde el 12 de marzo: nuevos costos y rentabilidad real — Enretail"/>
    <hyperlink ref="A30" r:id="rId14" display="Cuotas sin interés en Mercado Libre: cuántas vale la pena ofrecer — Base"/>
    <hyperlink ref="A31" r:id="rId15" display="Impuestos en Mercado Libre 2026: Guía Definitiva — Contablix"/>
    <hyperlink ref="A32" r:id="rId16" display="Retenciones y Percepciones en E-commerce Argentina 2026 — Contabli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2026-07-23T22:45:15Z</dcterms:created>
  <dc:creator>openpyxl</dc:creator>
  <dc:description/>
  <dc:language>en-US</dc:language>
  <cp:lastModifiedBy/>
  <dcterms:modified xsi:type="dcterms:W3CDTF">2026-07-23T22:45:16Z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