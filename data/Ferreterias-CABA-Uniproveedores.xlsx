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erreterías CABA" sheetId="1" state="visible" r:id="rId1"/>
    <sheet name="Cómo completar y escalar" sheetId="2" state="visible" r:id="rId2"/>
    <sheet name="Plan Semanal Redes" sheetId="3" state="visible" r:id="rId3"/>
    <sheet name="Seguidores por Red" sheetId="4" state="visible" r:id="rId4"/>
    <sheet name="Mensajes de contacto" sheetId="5" state="visible" r:id="rId5"/>
    <sheet name="Tablero y Resultados" sheetId="6" state="visible" r:id="rId6"/>
  </sheets>
  <definedNames>
    <definedName name="_xlnm._FilterDatabase" localSheetId="0" hidden="1">'Ferreterías CABA'!$A$3:$O$81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FFFFFF"/>
      <sz val="15"/>
    </font>
    <font>
      <i val="1"/>
      <color rgb="00666666"/>
      <sz val="9"/>
    </font>
    <font>
      <b val="1"/>
      <color rgb="000D0D0D"/>
      <sz val="11"/>
    </font>
    <font>
      <sz val="10"/>
    </font>
    <font>
      <b val="1"/>
      <color rgb="000D0D0D"/>
      <sz val="12"/>
    </font>
    <font>
      <b val="1"/>
      <sz val="10"/>
    </font>
    <font>
      <b val="1"/>
    </font>
    <font>
      <b val="1"/>
      <color rgb="000D0D0D"/>
    </font>
    <font>
      <b val="1"/>
      <color rgb="00FFFFFF"/>
    </font>
    <font>
      <b val="1"/>
      <sz val="12"/>
    </font>
    <font>
      <b val="1"/>
      <sz val="11"/>
    </font>
  </fonts>
  <fills count="8">
    <fill>
      <patternFill/>
    </fill>
    <fill>
      <patternFill patternType="gray125"/>
    </fill>
    <fill>
      <patternFill patternType="solid">
        <fgColor rgb="000D0D0D"/>
      </patternFill>
    </fill>
    <fill>
      <patternFill patternType="solid">
        <fgColor rgb="00A4D72B"/>
      </patternFill>
    </fill>
    <fill>
      <patternFill patternType="solid">
        <fgColor rgb="00E9F6C8"/>
      </patternFill>
    </fill>
    <fill>
      <patternFill patternType="solid">
        <fgColor rgb="00F6F6E3"/>
      </patternFill>
    </fill>
    <fill>
      <patternFill patternType="solid">
        <fgColor rgb="00FFFFFF"/>
      </patternFill>
    </fill>
    <fill>
      <patternFill patternType="solid">
        <fgColor rgb="00F3F7E6"/>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8">
    <xf numFmtId="0" fontId="0" fillId="0" borderId="0" pivotButton="0" quotePrefix="0" xfId="0"/>
    <xf numFmtId="0" fontId="1" fillId="2" borderId="0" applyAlignment="1" pivotButton="0" quotePrefix="0" xfId="0">
      <alignment horizontal="left" vertical="center"/>
    </xf>
    <xf numFmtId="0" fontId="2" fillId="0" borderId="0" applyAlignment="1" pivotButton="0" quotePrefix="0" xfId="0">
      <alignment vertical="top" wrapText="1"/>
    </xf>
    <xf numFmtId="0" fontId="3" fillId="3" borderId="1" applyAlignment="1" pivotButton="0" quotePrefix="0" xfId="0">
      <alignment horizontal="center" vertical="center"/>
    </xf>
    <xf numFmtId="0" fontId="0" fillId="4" borderId="1" applyAlignment="1" pivotButton="0" quotePrefix="0" xfId="0">
      <alignment horizontal="center" vertical="center"/>
    </xf>
    <xf numFmtId="0" fontId="0" fillId="4" borderId="1" applyAlignment="1" pivotButton="0" quotePrefix="0" xfId="0">
      <alignment vertical="top" wrapText="1"/>
    </xf>
    <xf numFmtId="0" fontId="0" fillId="5" borderId="1" applyAlignment="1" pivotButton="0" quotePrefix="0" xfId="0">
      <alignment horizontal="center" vertical="center"/>
    </xf>
    <xf numFmtId="0" fontId="0" fillId="5" borderId="1" applyAlignment="1" pivotButton="0" quotePrefix="0" xfId="0">
      <alignment vertical="top" wrapText="1"/>
    </xf>
    <xf numFmtId="0" fontId="0" fillId="6" borderId="1" applyAlignment="1" pivotButton="0" quotePrefix="0" xfId="0">
      <alignment horizontal="center" vertical="center"/>
    </xf>
    <xf numFmtId="0" fontId="0" fillId="6" borderId="1" applyAlignment="1" pivotButton="0" quotePrefix="0" xfId="0">
      <alignment vertical="top" wrapText="1"/>
    </xf>
    <xf numFmtId="0" fontId="1" fillId="2" borderId="0" pivotButton="0" quotePrefix="0" xfId="0"/>
    <xf numFmtId="0" fontId="4" fillId="0" borderId="0" applyAlignment="1" pivotButton="0" quotePrefix="0" xfId="0">
      <alignment vertical="top" wrapText="1"/>
    </xf>
    <xf numFmtId="0" fontId="5" fillId="3" borderId="0" pivotButton="0" quotePrefix="0" xfId="0"/>
    <xf numFmtId="0" fontId="6" fillId="0" borderId="0" applyAlignment="1" pivotButton="0" quotePrefix="0" xfId="0">
      <alignment vertical="top" wrapText="1"/>
    </xf>
    <xf numFmtId="0" fontId="7" fillId="0" borderId="1" applyAlignment="1" pivotButton="0" quotePrefix="0" xfId="0">
      <alignment vertical="top" wrapText="1"/>
    </xf>
    <xf numFmtId="0" fontId="0" fillId="0" borderId="1" applyAlignment="1" pivotButton="0" quotePrefix="0" xfId="0">
      <alignment vertical="top" wrapText="1"/>
    </xf>
    <xf numFmtId="0" fontId="8" fillId="3" borderId="0" applyAlignment="1" pivotButton="0" quotePrefix="0" xfId="0">
      <alignment vertical="top" wrapText="1"/>
    </xf>
    <xf numFmtId="0" fontId="9" fillId="2" borderId="0" applyAlignment="1" pivotButton="0" quotePrefix="0" xfId="0">
      <alignment vertical="top" wrapText="1"/>
    </xf>
    <xf numFmtId="0" fontId="4" fillId="7" borderId="0" applyAlignment="1" pivotButton="0" quotePrefix="0" xfId="0">
      <alignment vertical="top" wrapText="1"/>
    </xf>
    <xf numFmtId="0" fontId="10" fillId="0" borderId="0" pivotButton="0" quotePrefix="0" xfId="0"/>
    <xf numFmtId="0" fontId="4" fillId="0" borderId="0" pivotButton="0" quotePrefix="0" xfId="0"/>
    <xf numFmtId="0" fontId="7" fillId="7" borderId="0" applyAlignment="1" pivotButton="0" quotePrefix="0" xfId="0">
      <alignment horizontal="center" vertical="center"/>
    </xf>
    <xf numFmtId="0" fontId="7" fillId="0" borderId="0" pivotButton="0" quotePrefix="0" xfId="0"/>
    <xf numFmtId="0" fontId="7" fillId="0" borderId="0" applyAlignment="1" pivotButton="0" quotePrefix="0" xfId="0">
      <alignment horizontal="center" vertical="center"/>
    </xf>
    <xf numFmtId="0" fontId="11" fillId="0" borderId="0" pivotButton="0" quotePrefix="0" xfId="0"/>
    <xf numFmtId="9" fontId="7"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81"/>
  <sheetViews>
    <sheetView workbookViewId="0">
      <pane ySplit="3" topLeftCell="A4" activePane="bottomLeft" state="frozen"/>
      <selection pane="bottomLeft" activeCell="A1" sqref="A1"/>
    </sheetView>
  </sheetViews>
  <sheetFormatPr baseColWidth="8" defaultRowHeight="15"/>
  <cols>
    <col width="4" customWidth="1" min="1" max="1"/>
    <col width="8" customWidth="1" min="2" max="2"/>
    <col width="32" customWidth="1" min="3" max="3"/>
    <col width="17" customWidth="1" min="4" max="4"/>
    <col width="30" customWidth="1" min="5" max="5"/>
    <col width="16" customWidth="1" min="6" max="6"/>
    <col width="14" customWidth="1" min="7" max="7"/>
    <col width="8" customWidth="1" min="8" max="8"/>
    <col width="26" customWidth="1" min="9" max="9"/>
    <col width="24" customWidth="1" min="10" max="10"/>
    <col width="13" customWidth="1" min="11" max="11"/>
    <col width="14" customWidth="1" min="12" max="12"/>
    <col width="14" customWidth="1" min="13" max="13"/>
    <col width="9" customWidth="1" min="14" max="14"/>
    <col width="30" customWidth="1" min="15" max="15"/>
  </cols>
  <sheetData>
    <row r="1" ht="26" customHeight="1">
      <c r="A1" s="1" t="inlineStr">
        <is>
          <t>UNIPROVEEDORES · Ferreterías CABA — ordenadas por cercanía al depósito (Bacacay 4726, Comuna 10)</t>
        </is>
      </c>
    </row>
    <row r="2" ht="30" customHeight="1">
      <c r="A2" s="2" t="inlineStr">
        <is>
          <t>Anillo 1 = Comuna 10 e inmediato (~0-2 km). Anillo 2 = ~2-6 km. Anillo 3 = resto de CABA. Empezá por Anillo 1 (verde). Campos vacíos = completar en el contacto (ver hoja 'Cómo completar y escalar'). Para bajar TODAS las de Google Maps automáticamente: scripts/scrape_ferreterias_gmaps.py</t>
        </is>
      </c>
    </row>
    <row r="3">
      <c r="A3" s="3" t="inlineStr">
        <is>
          <t>#</t>
        </is>
      </c>
      <c r="B3" s="3" t="inlineStr">
        <is>
          <t>Anillo</t>
        </is>
      </c>
      <c r="C3" s="3" t="inlineStr">
        <is>
          <t>Nombre</t>
        </is>
      </c>
      <c r="D3" s="3" t="inlineStr">
        <is>
          <t>Barrio</t>
        </is>
      </c>
      <c r="E3" s="3" t="inlineStr">
        <is>
          <t>Dirección</t>
        </is>
      </c>
      <c r="F3" s="3" t="inlineStr">
        <is>
          <t>Teléfono</t>
        </is>
      </c>
      <c r="G3" s="3" t="inlineStr">
        <is>
          <t>WhatsApp</t>
        </is>
      </c>
      <c r="H3" s="3" t="inlineStr">
        <is>
          <t>Email</t>
        </is>
      </c>
      <c r="I3" s="3" t="inlineStr">
        <is>
          <t>Sitio web / Redes</t>
        </is>
      </c>
      <c r="J3" s="3" t="inlineStr">
        <is>
          <t>Instagram</t>
        </is>
      </c>
      <c r="K3" s="3" t="inlineStr">
        <is>
          <t>Horarios</t>
        </is>
      </c>
      <c r="L3" s="3" t="inlineStr">
        <is>
          <t>Encargado</t>
        </is>
      </c>
      <c r="M3" s="3" t="inlineStr">
        <is>
          <t>Estado</t>
        </is>
      </c>
      <c r="N3" s="3" t="inlineStr">
        <is>
          <t>Prioridad</t>
        </is>
      </c>
      <c r="O3" s="3" t="inlineStr">
        <is>
          <t>Notas / Fuente</t>
        </is>
      </c>
    </row>
    <row r="4">
      <c r="A4" s="4" t="n">
        <v>1</v>
      </c>
      <c r="B4" s="5" t="inlineStr">
        <is>
          <t>Anillo 1</t>
        </is>
      </c>
      <c r="C4" s="5" t="inlineStr">
        <is>
          <t>Ferretería (Belaústegui)</t>
        </is>
      </c>
      <c r="D4" s="5" t="inlineStr">
        <is>
          <t>Floresta</t>
        </is>
      </c>
      <c r="E4" s="5" t="inlineStr">
        <is>
          <t>Dr. Luis Belaústegui 3901</t>
        </is>
      </c>
      <c r="F4" s="5" t="inlineStr">
        <is>
          <t>011 4639-0060</t>
        </is>
      </c>
      <c r="G4" s="5" t="inlineStr">
        <is>
          <t>confirmar</t>
        </is>
      </c>
      <c r="H4" s="5" t="inlineStr"/>
      <c r="I4" s="5" t="inlineStr"/>
      <c r="J4" s="5" t="inlineStr"/>
      <c r="K4" s="5" t="inlineStr"/>
      <c r="L4" s="5" t="inlineStr"/>
      <c r="M4" s="5" t="inlineStr">
        <is>
          <t>Sin contactar</t>
        </is>
      </c>
      <c r="N4" s="5" t="inlineStr">
        <is>
          <t>Alta</t>
        </is>
      </c>
      <c r="O4" s="5" t="inlineStr">
        <is>
          <t>Muy cerca del depósito.</t>
        </is>
      </c>
    </row>
    <row r="5">
      <c r="A5" s="4" t="n">
        <v>2</v>
      </c>
      <c r="B5" s="5" t="inlineStr">
        <is>
          <t>Anillo 1</t>
        </is>
      </c>
      <c r="C5" s="5" t="inlineStr">
        <is>
          <t>Ferretería (Yerbal)</t>
        </is>
      </c>
      <c r="D5" s="5" t="inlineStr">
        <is>
          <t>Floresta</t>
        </is>
      </c>
      <c r="E5" s="5" t="inlineStr">
        <is>
          <t>Yerbal 3920</t>
        </is>
      </c>
      <c r="F5" s="5" t="inlineStr">
        <is>
          <t>011 4672-2218</t>
        </is>
      </c>
      <c r="G5" s="5" t="inlineStr">
        <is>
          <t>confirmar</t>
        </is>
      </c>
      <c r="H5" s="5" t="inlineStr"/>
      <c r="I5" s="5" t="inlineStr"/>
      <c r="J5" s="5" t="inlineStr"/>
      <c r="K5" s="5" t="inlineStr"/>
      <c r="L5" s="5" t="inlineStr"/>
      <c r="M5" s="5" t="inlineStr">
        <is>
          <t>Sin contactar</t>
        </is>
      </c>
      <c r="N5" s="5" t="inlineStr">
        <is>
          <t>Alta</t>
        </is>
      </c>
      <c r="O5" s="5" t="inlineStr">
        <is>
          <t>Muy cerca del depósito.</t>
        </is>
      </c>
    </row>
    <row r="6">
      <c r="A6" s="4" t="n">
        <v>3</v>
      </c>
      <c r="B6" s="5" t="inlineStr">
        <is>
          <t>Anillo 1</t>
        </is>
      </c>
      <c r="C6" s="5" t="inlineStr">
        <is>
          <t>Ferretería (Gaona 4277)</t>
        </is>
      </c>
      <c r="D6" s="5" t="inlineStr">
        <is>
          <t>Floresta</t>
        </is>
      </c>
      <c r="E6" s="5" t="inlineStr">
        <is>
          <t>Av. Gaona 4277</t>
        </is>
      </c>
      <c r="F6" s="5" t="inlineStr">
        <is>
          <t>011 4671-7132</t>
        </is>
      </c>
      <c r="G6" s="5" t="inlineStr">
        <is>
          <t>confirmar</t>
        </is>
      </c>
      <c r="H6" s="5" t="inlineStr"/>
      <c r="I6" s="5" t="inlineStr"/>
      <c r="J6" s="5" t="inlineStr"/>
      <c r="K6" s="5" t="inlineStr"/>
      <c r="L6" s="5" t="inlineStr"/>
      <c r="M6" s="5" t="inlineStr">
        <is>
          <t>Sin contactar</t>
        </is>
      </c>
      <c r="N6" s="5" t="inlineStr">
        <is>
          <t>Alta</t>
        </is>
      </c>
      <c r="O6" s="5" t="inlineStr">
        <is>
          <t>Sobre avenida, buen tránsito.</t>
        </is>
      </c>
    </row>
    <row r="7">
      <c r="A7" s="4" t="n">
        <v>4</v>
      </c>
      <c r="B7" s="5" t="inlineStr">
        <is>
          <t>Anillo 1</t>
        </is>
      </c>
      <c r="C7" s="5" t="inlineStr">
        <is>
          <t>Ferretería (J. V. González)</t>
        </is>
      </c>
      <c r="D7" s="5" t="inlineStr">
        <is>
          <t>Floresta</t>
        </is>
      </c>
      <c r="E7" s="5" t="inlineStr">
        <is>
          <t>Joaquín V. González 19</t>
        </is>
      </c>
      <c r="F7" s="5" t="inlineStr">
        <is>
          <t>011 4674-6435</t>
        </is>
      </c>
      <c r="G7" s="5" t="inlineStr">
        <is>
          <t>confirmar</t>
        </is>
      </c>
      <c r="H7" s="5" t="inlineStr"/>
      <c r="I7" s="5" t="inlineStr"/>
      <c r="J7" s="5" t="inlineStr"/>
      <c r="K7" s="5" t="inlineStr"/>
      <c r="L7" s="5" t="inlineStr"/>
      <c r="M7" s="5" t="inlineStr">
        <is>
          <t>Sin contactar</t>
        </is>
      </c>
      <c r="N7" s="5" t="inlineStr">
        <is>
          <t>Alta</t>
        </is>
      </c>
      <c r="O7" s="5" t="inlineStr">
        <is>
          <t>Muy cerca del depósito.</t>
        </is>
      </c>
    </row>
    <row r="8">
      <c r="A8" s="4" t="n">
        <v>5</v>
      </c>
      <c r="B8" s="5" t="inlineStr">
        <is>
          <t>Anillo 1</t>
        </is>
      </c>
      <c r="C8" s="5" t="inlineStr">
        <is>
          <t>Ferretería (Lacarra 53)</t>
        </is>
      </c>
      <c r="D8" s="5" t="inlineStr">
        <is>
          <t>Vélez Sarsfield</t>
        </is>
      </c>
      <c r="E8" s="5" t="inlineStr">
        <is>
          <t>Av. Lacarra 53</t>
        </is>
      </c>
      <c r="F8" s="5" t="inlineStr">
        <is>
          <t>011 4674-1101</t>
        </is>
      </c>
      <c r="G8" s="5" t="inlineStr">
        <is>
          <t>confirmar</t>
        </is>
      </c>
      <c r="H8" s="5" t="inlineStr"/>
      <c r="I8" s="5" t="inlineStr"/>
      <c r="J8" s="5" t="inlineStr"/>
      <c r="K8" s="5" t="inlineStr"/>
      <c r="L8" s="5" t="inlineStr"/>
      <c r="M8" s="5" t="inlineStr">
        <is>
          <t>Sin contactar</t>
        </is>
      </c>
      <c r="N8" s="5" t="inlineStr">
        <is>
          <t>Alta</t>
        </is>
      </c>
      <c r="O8" s="5" t="inlineStr">
        <is>
          <t>Barrio del depósito.</t>
        </is>
      </c>
    </row>
    <row r="9">
      <c r="A9" s="4" t="n">
        <v>6</v>
      </c>
      <c r="B9" s="5" t="inlineStr">
        <is>
          <t>Anillo 1</t>
        </is>
      </c>
      <c r="C9" s="5" t="inlineStr">
        <is>
          <t>Ferretería (E. de San Martín)</t>
        </is>
      </c>
      <c r="D9" s="5" t="inlineStr">
        <is>
          <t>Vélez Sarsfield</t>
        </is>
      </c>
      <c r="E9" s="5" t="inlineStr">
        <is>
          <t>E. de San Martín 4944</t>
        </is>
      </c>
      <c r="F9" s="5" t="inlineStr">
        <is>
          <t>011 4674-0327</t>
        </is>
      </c>
      <c r="G9" s="5" t="inlineStr">
        <is>
          <t>confirmar</t>
        </is>
      </c>
      <c r="H9" s="5" t="inlineStr"/>
      <c r="I9" s="5" t="inlineStr"/>
      <c r="J9" s="5" t="inlineStr"/>
      <c r="K9" s="5" t="inlineStr"/>
      <c r="L9" s="5" t="inlineStr"/>
      <c r="M9" s="5" t="inlineStr">
        <is>
          <t>Sin contactar</t>
        </is>
      </c>
      <c r="N9" s="5" t="inlineStr">
        <is>
          <t>Alta</t>
        </is>
      </c>
      <c r="O9" s="5" t="inlineStr">
        <is>
          <t>Barrio del depósito.</t>
        </is>
      </c>
    </row>
    <row r="10">
      <c r="A10" s="4" t="n">
        <v>7</v>
      </c>
      <c r="B10" s="5" t="inlineStr">
        <is>
          <t>Anillo 1</t>
        </is>
      </c>
      <c r="C10" s="5" t="inlineStr">
        <is>
          <t>Ferretería (Rivadavia 9825)</t>
        </is>
      </c>
      <c r="D10" s="5" t="inlineStr">
        <is>
          <t>Villa Luro</t>
        </is>
      </c>
      <c r="E10" s="5" t="inlineStr">
        <is>
          <t>Av. Rivadavia 9825</t>
        </is>
      </c>
      <c r="F10" s="5" t="inlineStr">
        <is>
          <t>011 4682-1993</t>
        </is>
      </c>
      <c r="G10" s="5" t="inlineStr">
        <is>
          <t>confirmar</t>
        </is>
      </c>
      <c r="H10" s="5" t="inlineStr"/>
      <c r="I10" s="5" t="inlineStr"/>
      <c r="J10" s="5" t="inlineStr"/>
      <c r="K10" s="5" t="inlineStr"/>
      <c r="L10" s="5" t="inlineStr"/>
      <c r="M10" s="5" t="inlineStr">
        <is>
          <t>Sin contactar</t>
        </is>
      </c>
      <c r="N10" s="5" t="inlineStr">
        <is>
          <t>Alta</t>
        </is>
      </c>
      <c r="O10" s="5" t="inlineStr">
        <is>
          <t>Sobre Rivadavia.</t>
        </is>
      </c>
    </row>
    <row r="11">
      <c r="A11" s="4" t="n">
        <v>8</v>
      </c>
      <c r="B11" s="5" t="inlineStr">
        <is>
          <t>Anillo 1</t>
        </is>
      </c>
      <c r="C11" s="5" t="inlineStr">
        <is>
          <t>Ferretería (Víctor Hugo)</t>
        </is>
      </c>
      <c r="D11" s="5" t="inlineStr">
        <is>
          <t>Villa Luro</t>
        </is>
      </c>
      <c r="E11" s="5" t="inlineStr">
        <is>
          <t>Víctor Hugo 43</t>
        </is>
      </c>
      <c r="F11" s="5" t="inlineStr">
        <is>
          <t>011 4682-8050</t>
        </is>
      </c>
      <c r="G11" s="5" t="inlineStr">
        <is>
          <t>confirmar</t>
        </is>
      </c>
      <c r="H11" s="5" t="inlineStr"/>
      <c r="I11" s="5" t="inlineStr"/>
      <c r="J11" s="5" t="inlineStr"/>
      <c r="K11" s="5" t="inlineStr"/>
      <c r="L11" s="5" t="inlineStr"/>
      <c r="M11" s="5" t="inlineStr">
        <is>
          <t>Sin contactar</t>
        </is>
      </c>
      <c r="N11" s="5" t="inlineStr">
        <is>
          <t>Alta</t>
        </is>
      </c>
      <c r="O11" s="5" t="inlineStr">
        <is>
          <t>Cerca del depósito.</t>
        </is>
      </c>
    </row>
    <row r="12">
      <c r="A12" s="4" t="n">
        <v>9</v>
      </c>
      <c r="B12" s="5" t="inlineStr">
        <is>
          <t>Anillo 1</t>
        </is>
      </c>
      <c r="C12" s="5" t="inlineStr">
        <is>
          <t>Ferretería (Larrañaga)</t>
        </is>
      </c>
      <c r="D12" s="5" t="inlineStr">
        <is>
          <t>Villa Luro</t>
        </is>
      </c>
      <c r="E12" s="5" t="inlineStr">
        <is>
          <t>D. Larrañaga 694</t>
        </is>
      </c>
      <c r="F12" s="5" t="inlineStr">
        <is>
          <t>011 4683-1181</t>
        </is>
      </c>
      <c r="G12" s="5" t="inlineStr">
        <is>
          <t>confirmar</t>
        </is>
      </c>
      <c r="H12" s="5" t="inlineStr"/>
      <c r="I12" s="5" t="inlineStr"/>
      <c r="J12" s="5" t="inlineStr"/>
      <c r="K12" s="5" t="inlineStr"/>
      <c r="L12" s="5" t="inlineStr"/>
      <c r="M12" s="5" t="inlineStr">
        <is>
          <t>Sin contactar</t>
        </is>
      </c>
      <c r="N12" s="5" t="inlineStr">
        <is>
          <t>Media</t>
        </is>
      </c>
      <c r="O12" s="5" t="inlineStr">
        <is>
          <t>Cerca del depósito.</t>
        </is>
      </c>
    </row>
    <row r="13">
      <c r="A13" s="4" t="n">
        <v>10</v>
      </c>
      <c r="B13" s="5" t="inlineStr">
        <is>
          <t>Anillo 1</t>
        </is>
      </c>
      <c r="C13" s="5" t="inlineStr">
        <is>
          <t>Ferretería (Álvarez Jonte 4663)</t>
        </is>
      </c>
      <c r="D13" s="5" t="inlineStr">
        <is>
          <t>Monte Castro</t>
        </is>
      </c>
      <c r="E13" s="5" t="inlineStr">
        <is>
          <t>Av. Álvarez Jonte 4663</t>
        </is>
      </c>
      <c r="F13" s="5" t="inlineStr">
        <is>
          <t>011 4567-7997</t>
        </is>
      </c>
      <c r="G13" s="5" t="inlineStr">
        <is>
          <t>confirmar</t>
        </is>
      </c>
      <c r="H13" s="5" t="inlineStr"/>
      <c r="I13" s="5" t="inlineStr"/>
      <c r="J13" s="5" t="inlineStr"/>
      <c r="K13" s="5" t="inlineStr"/>
      <c r="L13" s="5" t="inlineStr"/>
      <c r="M13" s="5" t="inlineStr">
        <is>
          <t>Sin contactar</t>
        </is>
      </c>
      <c r="N13" s="5" t="inlineStr">
        <is>
          <t>Alta</t>
        </is>
      </c>
      <c r="O13" s="5" t="inlineStr">
        <is>
          <t>Sobre avenida.</t>
        </is>
      </c>
    </row>
    <row r="14">
      <c r="A14" s="4" t="n">
        <v>11</v>
      </c>
      <c r="B14" s="5" t="inlineStr">
        <is>
          <t>Anillo 1</t>
        </is>
      </c>
      <c r="C14" s="5" t="inlineStr">
        <is>
          <t>Ferretería (Benito Juárez)</t>
        </is>
      </c>
      <c r="D14" s="5" t="inlineStr">
        <is>
          <t>Monte Castro</t>
        </is>
      </c>
      <c r="E14" s="5" t="inlineStr">
        <is>
          <t>Benito Juárez 1855</t>
        </is>
      </c>
      <c r="F14" s="5" t="inlineStr"/>
      <c r="G14" s="5" t="inlineStr">
        <is>
          <t>confirmar</t>
        </is>
      </c>
      <c r="H14" s="5" t="inlineStr"/>
      <c r="I14" s="5" t="inlineStr"/>
      <c r="J14" s="5" t="inlineStr"/>
      <c r="K14" s="5" t="inlineStr"/>
      <c r="L14" s="5" t="inlineStr"/>
      <c r="M14" s="5" t="inlineStr">
        <is>
          <t>Sin contactar</t>
        </is>
      </c>
      <c r="N14" s="5" t="inlineStr">
        <is>
          <t>Media</t>
        </is>
      </c>
      <c r="O14" s="5" t="inlineStr">
        <is>
          <t>Directorio Monte Castro.</t>
        </is>
      </c>
    </row>
    <row r="15">
      <c r="A15" s="4" t="n">
        <v>12</v>
      </c>
      <c r="B15" s="5" t="inlineStr">
        <is>
          <t>Anillo 1</t>
        </is>
      </c>
      <c r="C15" s="5" t="inlineStr">
        <is>
          <t>Ferretería (Lope de Vega 2240)</t>
        </is>
      </c>
      <c r="D15" s="5" t="inlineStr">
        <is>
          <t>Villa Real</t>
        </is>
      </c>
      <c r="E15" s="5" t="inlineStr">
        <is>
          <t>Av. Lope de Vega 2240</t>
        </is>
      </c>
      <c r="F15" s="5" t="inlineStr">
        <is>
          <t>011 4568-8186</t>
        </is>
      </c>
      <c r="G15" s="5" t="inlineStr">
        <is>
          <t>confirmar</t>
        </is>
      </c>
      <c r="H15" s="5" t="inlineStr"/>
      <c r="I15" s="5" t="inlineStr"/>
      <c r="J15" s="5" t="inlineStr"/>
      <c r="K15" s="5" t="inlineStr"/>
      <c r="L15" s="5" t="inlineStr"/>
      <c r="M15" s="5" t="inlineStr">
        <is>
          <t>Sin contactar</t>
        </is>
      </c>
      <c r="N15" s="5" t="inlineStr">
        <is>
          <t>Media</t>
        </is>
      </c>
      <c r="O15" s="5" t="inlineStr">
        <is>
          <t>Sobre avenida.</t>
        </is>
      </c>
    </row>
    <row r="16">
      <c r="A16" s="4" t="n">
        <v>13</v>
      </c>
      <c r="B16" s="5" t="inlineStr">
        <is>
          <t>Anillo 1</t>
        </is>
      </c>
      <c r="C16" s="5" t="inlineStr">
        <is>
          <t>Ferretería (Lope de Vega 2832)</t>
        </is>
      </c>
      <c r="D16" s="5" t="inlineStr">
        <is>
          <t>Villa Real</t>
        </is>
      </c>
      <c r="E16" s="5" t="inlineStr">
        <is>
          <t>Av. Lope de Vega 2832</t>
        </is>
      </c>
      <c r="F16" s="5" t="inlineStr">
        <is>
          <t>011 4568-8402</t>
        </is>
      </c>
      <c r="G16" s="5" t="inlineStr">
        <is>
          <t>confirmar</t>
        </is>
      </c>
      <c r="H16" s="5" t="inlineStr"/>
      <c r="I16" s="5" t="inlineStr"/>
      <c r="J16" s="5" t="inlineStr"/>
      <c r="K16" s="5" t="inlineStr"/>
      <c r="L16" s="5" t="inlineStr"/>
      <c r="M16" s="5" t="inlineStr">
        <is>
          <t>Sin contactar</t>
        </is>
      </c>
      <c r="N16" s="5" t="inlineStr">
        <is>
          <t>Media</t>
        </is>
      </c>
      <c r="O16" s="5" t="inlineStr">
        <is>
          <t>Sobre avenida.</t>
        </is>
      </c>
    </row>
    <row r="17">
      <c r="A17" s="4" t="n">
        <v>14</v>
      </c>
      <c r="B17" s="5" t="inlineStr">
        <is>
          <t>Anillo 1</t>
        </is>
      </c>
      <c r="C17" s="5" t="inlineStr">
        <is>
          <t>Ferretería (Nazca 1311)</t>
        </is>
      </c>
      <c r="D17" s="5" t="inlineStr">
        <is>
          <t>Villa Santa Rita</t>
        </is>
      </c>
      <c r="E17" s="5" t="inlineStr">
        <is>
          <t>Av. Nazca 1311</t>
        </is>
      </c>
      <c r="F17" s="5" t="inlineStr">
        <is>
          <t>011 4584-2809</t>
        </is>
      </c>
      <c r="G17" s="5" t="inlineStr">
        <is>
          <t>confirmar</t>
        </is>
      </c>
      <c r="H17" s="5" t="inlineStr"/>
      <c r="I17" s="5" t="inlineStr"/>
      <c r="J17" s="5" t="inlineStr"/>
      <c r="K17" s="5" t="inlineStr"/>
      <c r="L17" s="5" t="inlineStr"/>
      <c r="M17" s="5" t="inlineStr">
        <is>
          <t>Sin contactar</t>
        </is>
      </c>
      <c r="N17" s="5" t="inlineStr">
        <is>
          <t>Alta</t>
        </is>
      </c>
      <c r="O17" s="5" t="inlineStr">
        <is>
          <t>Sobre Nazca (avenida clave).</t>
        </is>
      </c>
    </row>
    <row r="18">
      <c r="A18" s="4" t="n">
        <v>15</v>
      </c>
      <c r="B18" s="5" t="inlineStr">
        <is>
          <t>Anillo 1</t>
        </is>
      </c>
      <c r="C18" s="5" t="inlineStr">
        <is>
          <t>Ferretería (Nazca 1826)</t>
        </is>
      </c>
      <c r="D18" s="5" t="inlineStr">
        <is>
          <t>Villa Santa Rita</t>
        </is>
      </c>
      <c r="E18" s="5" t="inlineStr">
        <is>
          <t>Av. Nazca 1826</t>
        </is>
      </c>
      <c r="F18" s="5" t="inlineStr">
        <is>
          <t>011 4584-6513</t>
        </is>
      </c>
      <c r="G18" s="5" t="inlineStr">
        <is>
          <t>confirmar</t>
        </is>
      </c>
      <c r="H18" s="5" t="inlineStr"/>
      <c r="I18" s="5" t="inlineStr"/>
      <c r="J18" s="5" t="inlineStr"/>
      <c r="K18" s="5" t="inlineStr"/>
      <c r="L18" s="5" t="inlineStr"/>
      <c r="M18" s="5" t="inlineStr">
        <is>
          <t>Sin contactar</t>
        </is>
      </c>
      <c r="N18" s="5" t="inlineStr">
        <is>
          <t>Alta</t>
        </is>
      </c>
      <c r="O18" s="5" t="inlineStr">
        <is>
          <t>Sobre Nazca.</t>
        </is>
      </c>
    </row>
    <row r="19">
      <c r="A19" s="4" t="n">
        <v>16</v>
      </c>
      <c r="B19" s="5" t="inlineStr">
        <is>
          <t>Anillo 1</t>
        </is>
      </c>
      <c r="C19" s="5" t="inlineStr">
        <is>
          <t>Materiales Cardinale S.R.L.</t>
        </is>
      </c>
      <c r="D19" s="5" t="inlineStr">
        <is>
          <t>Villa del Parque</t>
        </is>
      </c>
      <c r="E19" s="5" t="inlineStr">
        <is>
          <t>Av. Mosconi 3992</t>
        </is>
      </c>
      <c r="F19" s="5" t="inlineStr"/>
      <c r="G19" s="5" t="inlineStr">
        <is>
          <t>confirmar</t>
        </is>
      </c>
      <c r="H19" s="5" t="inlineStr"/>
      <c r="I19" s="5" t="inlineStr"/>
      <c r="J19" s="5" t="inlineStr"/>
      <c r="K19" s="5" t="inlineStr"/>
      <c r="L19" s="5" t="inlineStr"/>
      <c r="M19" s="5" t="inlineStr">
        <is>
          <t>Sin contactar</t>
        </is>
      </c>
      <c r="N19" s="5" t="inlineStr">
        <is>
          <t>Alta</t>
        </is>
      </c>
      <c r="O19" s="5" t="inlineStr">
        <is>
          <t>Materiales + ferretería. Volumen.</t>
        </is>
      </c>
    </row>
    <row r="20">
      <c r="A20" s="4" t="n">
        <v>17</v>
      </c>
      <c r="B20" s="5" t="inlineStr">
        <is>
          <t>Anillo 1</t>
        </is>
      </c>
      <c r="C20" s="5" t="inlineStr">
        <is>
          <t>Ferretería del Parque</t>
        </is>
      </c>
      <c r="D20" s="5" t="inlineStr">
        <is>
          <t>Villa del Parque</t>
        </is>
      </c>
      <c r="E20" s="5" t="inlineStr">
        <is>
          <t>(consultar - Páginas Amarillas)</t>
        </is>
      </c>
      <c r="F20" s="5" t="inlineStr"/>
      <c r="G20" s="5" t="inlineStr">
        <is>
          <t>confirmar</t>
        </is>
      </c>
      <c r="H20" s="5" t="inlineStr"/>
      <c r="I20" s="5" t="inlineStr"/>
      <c r="J20" s="5" t="inlineStr"/>
      <c r="K20" s="5" t="inlineStr"/>
      <c r="L20" s="5" t="inlineStr"/>
      <c r="M20" s="5" t="inlineStr">
        <is>
          <t>Sin contactar</t>
        </is>
      </c>
      <c r="N20" s="5" t="inlineStr">
        <is>
          <t>Media</t>
        </is>
      </c>
      <c r="O20" s="5" t="inlineStr">
        <is>
          <t>Ficha PáginasAmarillas.</t>
        </is>
      </c>
    </row>
    <row r="21">
      <c r="A21" s="4" t="n">
        <v>18</v>
      </c>
      <c r="B21" s="5" t="inlineStr">
        <is>
          <t>Anillo 1</t>
        </is>
      </c>
      <c r="C21" s="5" t="inlineStr">
        <is>
          <t>Ferretería (Nazarre)</t>
        </is>
      </c>
      <c r="D21" s="5" t="inlineStr">
        <is>
          <t>Villa del Parque</t>
        </is>
      </c>
      <c r="E21" s="5" t="inlineStr">
        <is>
          <t>Nazarre 3256</t>
        </is>
      </c>
      <c r="F21" s="5" t="inlineStr">
        <is>
          <t>011 4587-6243</t>
        </is>
      </c>
      <c r="G21" s="5" t="inlineStr">
        <is>
          <t>confirmar</t>
        </is>
      </c>
      <c r="H21" s="5" t="inlineStr"/>
      <c r="I21" s="5" t="inlineStr"/>
      <c r="J21" s="5" t="inlineStr"/>
      <c r="K21" s="5" t="inlineStr"/>
      <c r="L21" s="5" t="inlineStr"/>
      <c r="M21" s="5" t="inlineStr">
        <is>
          <t>Sin contactar</t>
        </is>
      </c>
      <c r="N21" s="5" t="inlineStr">
        <is>
          <t>Media</t>
        </is>
      </c>
      <c r="O21" s="5" t="inlineStr">
        <is>
          <t>Directorio V. del Parque.</t>
        </is>
      </c>
    </row>
    <row r="22">
      <c r="A22" s="4" t="n">
        <v>19</v>
      </c>
      <c r="B22" s="5" t="inlineStr">
        <is>
          <t>Anillo 1</t>
        </is>
      </c>
      <c r="C22" s="5" t="inlineStr">
        <is>
          <t>Herramientas Dali S.R.L.</t>
        </is>
      </c>
      <c r="D22" s="5" t="inlineStr">
        <is>
          <t>Villa del Parque</t>
        </is>
      </c>
      <c r="E22" s="5" t="inlineStr">
        <is>
          <t>Av. Juan B. Justo 5768</t>
        </is>
      </c>
      <c r="F22" s="5" t="inlineStr"/>
      <c r="G22" s="5" t="inlineStr">
        <is>
          <t>confirmar</t>
        </is>
      </c>
      <c r="H22" s="5" t="inlineStr"/>
      <c r="I22" s="5" t="inlineStr"/>
      <c r="J22" s="5" t="inlineStr"/>
      <c r="K22" s="5" t="inlineStr"/>
      <c r="L22" s="5" t="inlineStr"/>
      <c r="M22" s="5" t="inlineStr">
        <is>
          <t>Sin contactar</t>
        </is>
      </c>
      <c r="N22" s="5" t="inlineStr">
        <is>
          <t>Alta</t>
        </is>
      </c>
      <c r="O22" s="5" t="inlineStr">
        <is>
          <t>Herramientas. Posible mayorista.</t>
        </is>
      </c>
    </row>
    <row r="23">
      <c r="A23" s="6" t="n">
        <v>20</v>
      </c>
      <c r="B23" s="7" t="inlineStr">
        <is>
          <t>Anillo 2</t>
        </is>
      </c>
      <c r="C23" s="7" t="inlineStr">
        <is>
          <t>Ferretería Santa María</t>
        </is>
      </c>
      <c r="D23" s="7" t="inlineStr">
        <is>
          <t>Caballito</t>
        </is>
      </c>
      <c r="E23" s="7" t="inlineStr">
        <is>
          <t>Av. La Plata 213</t>
        </is>
      </c>
      <c r="F23" s="7" t="inlineStr"/>
      <c r="G23" s="7" t="inlineStr">
        <is>
          <t>confirmar</t>
        </is>
      </c>
      <c r="H23" s="7" t="inlineStr"/>
      <c r="I23" s="7" t="inlineStr">
        <is>
          <t>ferreteriasantamaria.com.ar</t>
        </is>
      </c>
      <c r="J23" s="7" t="inlineStr"/>
      <c r="K23" s="7" t="inlineStr"/>
      <c r="L23" s="7" t="inlineStr"/>
      <c r="M23" s="7" t="inlineStr">
        <is>
          <t>Sin contactar</t>
        </is>
      </c>
      <c r="N23" s="7" t="inlineStr">
        <is>
          <t>Alta</t>
        </is>
      </c>
      <c r="O23" s="7" t="inlineStr">
        <is>
          <t>Web propia. Buen prospecto.</t>
        </is>
      </c>
    </row>
    <row r="24">
      <c r="A24" s="6" t="n">
        <v>21</v>
      </c>
      <c r="B24" s="7" t="inlineStr">
        <is>
          <t>Anillo 2</t>
        </is>
      </c>
      <c r="C24" s="7" t="inlineStr">
        <is>
          <t>Ferretería Online</t>
        </is>
      </c>
      <c r="D24" s="7" t="inlineStr">
        <is>
          <t>Caballito</t>
        </is>
      </c>
      <c r="E24" s="7" t="inlineStr">
        <is>
          <t>Av. Rivadavia 5456 Local 16</t>
        </is>
      </c>
      <c r="F24" s="7" t="inlineStr"/>
      <c r="G24" s="7" t="inlineStr">
        <is>
          <t>confirmar</t>
        </is>
      </c>
      <c r="H24" s="7" t="inlineStr"/>
      <c r="I24" s="7" t="inlineStr">
        <is>
          <t>ferreteriaonline.com.ar</t>
        </is>
      </c>
      <c r="J24" s="7" t="inlineStr"/>
      <c r="K24" s="7" t="inlineStr"/>
      <c r="L24" s="7" t="inlineStr"/>
      <c r="M24" s="7" t="inlineStr">
        <is>
          <t>Sin contactar</t>
        </is>
      </c>
      <c r="N24" s="7" t="inlineStr">
        <is>
          <t>Alta</t>
        </is>
      </c>
      <c r="O24" s="7" t="inlineStr">
        <is>
          <t>E-commerce de herramientas industriales.</t>
        </is>
      </c>
    </row>
    <row r="25">
      <c r="A25" s="6" t="n">
        <v>22</v>
      </c>
      <c r="B25" s="7" t="inlineStr">
        <is>
          <t>Anillo 2</t>
        </is>
      </c>
      <c r="C25" s="7" t="inlineStr">
        <is>
          <t>LB Ferreterías</t>
        </is>
      </c>
      <c r="D25" s="7" t="inlineStr">
        <is>
          <t>Caballito</t>
        </is>
      </c>
      <c r="E25" s="7" t="inlineStr">
        <is>
          <t>Av. Honorio Pueyrredón 1182</t>
        </is>
      </c>
      <c r="F25" s="7" t="inlineStr"/>
      <c r="G25" s="7" t="inlineStr">
        <is>
          <t>confirmar</t>
        </is>
      </c>
      <c r="H25" s="7" t="inlineStr"/>
      <c r="I25" s="7" t="inlineStr">
        <is>
          <t>lbferreterias.com.ar</t>
        </is>
      </c>
      <c r="J25" s="7" t="inlineStr"/>
      <c r="K25" s="7" t="inlineStr"/>
      <c r="L25" s="7" t="inlineStr"/>
      <c r="M25" s="7" t="inlineStr">
        <is>
          <t>Sin contactar</t>
        </is>
      </c>
      <c r="N25" s="7" t="inlineStr">
        <is>
          <t>Alta</t>
        </is>
      </c>
      <c r="O25" s="7" t="inlineStr">
        <is>
          <t>Web propia.</t>
        </is>
      </c>
    </row>
    <row r="26">
      <c r="A26" s="6" t="n">
        <v>23</v>
      </c>
      <c r="B26" s="7" t="inlineStr">
        <is>
          <t>Anillo 2</t>
        </is>
      </c>
      <c r="C26" s="7" t="inlineStr">
        <is>
          <t>Mercado del Progreso (sector ferret.)</t>
        </is>
      </c>
      <c r="D26" s="7" t="inlineStr">
        <is>
          <t>Caballito</t>
        </is>
      </c>
      <c r="E26" s="7" t="inlineStr">
        <is>
          <t>Av. Rivadavia 5430</t>
        </is>
      </c>
      <c r="F26" s="7" t="inlineStr"/>
      <c r="G26" s="7" t="inlineStr">
        <is>
          <t>confirmar</t>
        </is>
      </c>
      <c r="H26" s="7" t="inlineStr"/>
      <c r="I26" s="7" t="inlineStr">
        <is>
          <t>mercadodelprogreso.com</t>
        </is>
      </c>
      <c r="J26" s="7" t="inlineStr"/>
      <c r="K26" s="7" t="inlineStr"/>
      <c r="L26" s="7" t="inlineStr"/>
      <c r="M26" s="7" t="inlineStr">
        <is>
          <t>Sin contactar</t>
        </is>
      </c>
      <c r="N26" s="7" t="inlineStr">
        <is>
          <t>Media</t>
        </is>
      </c>
      <c r="O26" s="7" t="inlineStr">
        <is>
          <t>Puestos de ferretería/electricidad.</t>
        </is>
      </c>
    </row>
    <row r="27">
      <c r="A27" s="6" t="n">
        <v>24</v>
      </c>
      <c r="B27" s="7" t="inlineStr">
        <is>
          <t>Anillo 2</t>
        </is>
      </c>
      <c r="C27" s="7" t="inlineStr">
        <is>
          <t>Ferretería (Avellaneda 2287)</t>
        </is>
      </c>
      <c r="D27" s="7" t="inlineStr">
        <is>
          <t>Flores</t>
        </is>
      </c>
      <c r="E27" s="7" t="inlineStr">
        <is>
          <t>Av. Avellaneda 2287</t>
        </is>
      </c>
      <c r="F27" s="7" t="inlineStr">
        <is>
          <t>011 4631-0351</t>
        </is>
      </c>
      <c r="G27" s="7" t="inlineStr">
        <is>
          <t>confirmar</t>
        </is>
      </c>
      <c r="H27" s="7" t="inlineStr"/>
      <c r="I27" s="7" t="inlineStr"/>
      <c r="J27" s="7" t="inlineStr"/>
      <c r="K27" s="7" t="inlineStr"/>
      <c r="L27" s="7" t="inlineStr"/>
      <c r="M27" s="7" t="inlineStr">
        <is>
          <t>Sin contactar</t>
        </is>
      </c>
      <c r="N27" s="7" t="inlineStr">
        <is>
          <t>Media</t>
        </is>
      </c>
      <c r="O27" s="7" t="inlineStr">
        <is>
          <t>Sobre avenida comercial.</t>
        </is>
      </c>
    </row>
    <row r="28">
      <c r="A28" s="6" t="n">
        <v>25</v>
      </c>
      <c r="B28" s="7" t="inlineStr">
        <is>
          <t>Anillo 2</t>
        </is>
      </c>
      <c r="C28" s="7" t="inlineStr">
        <is>
          <t>Ferretería (Directorio 2320)</t>
        </is>
      </c>
      <c r="D28" s="7" t="inlineStr">
        <is>
          <t>Flores</t>
        </is>
      </c>
      <c r="E28" s="7" t="inlineStr">
        <is>
          <t>Av. Directorio 2320</t>
        </is>
      </c>
      <c r="F28" s="7" t="inlineStr">
        <is>
          <t>011 4634-1301</t>
        </is>
      </c>
      <c r="G28" s="7" t="inlineStr">
        <is>
          <t>confirmar</t>
        </is>
      </c>
      <c r="H28" s="7" t="inlineStr"/>
      <c r="I28" s="7" t="inlineStr"/>
      <c r="J28" s="7" t="inlineStr"/>
      <c r="K28" s="7" t="inlineStr"/>
      <c r="L28" s="7" t="inlineStr"/>
      <c r="M28" s="7" t="inlineStr">
        <is>
          <t>Sin contactar</t>
        </is>
      </c>
      <c r="N28" s="7" t="inlineStr">
        <is>
          <t>Media</t>
        </is>
      </c>
      <c r="O28" s="7" t="inlineStr">
        <is>
          <t>Directorio Flores.</t>
        </is>
      </c>
    </row>
    <row r="29">
      <c r="A29" s="6" t="n">
        <v>26</v>
      </c>
      <c r="B29" s="7" t="inlineStr">
        <is>
          <t>Anillo 2</t>
        </is>
      </c>
      <c r="C29" s="7" t="inlineStr">
        <is>
          <t>Ferretería (Eva Perón 2951)</t>
        </is>
      </c>
      <c r="D29" s="7" t="inlineStr">
        <is>
          <t>Flores</t>
        </is>
      </c>
      <c r="E29" s="7" t="inlineStr">
        <is>
          <t>Av. Eva Perón 2951</t>
        </is>
      </c>
      <c r="F29" s="7" t="inlineStr">
        <is>
          <t>011 4660-6105</t>
        </is>
      </c>
      <c r="G29" s="7" t="inlineStr">
        <is>
          <t>confirmar</t>
        </is>
      </c>
      <c r="H29" s="7" t="inlineStr"/>
      <c r="I29" s="7" t="inlineStr"/>
      <c r="J29" s="7" t="inlineStr"/>
      <c r="K29" s="7" t="inlineStr"/>
      <c r="L29" s="7" t="inlineStr"/>
      <c r="M29" s="7" t="inlineStr">
        <is>
          <t>Sin contactar</t>
        </is>
      </c>
      <c r="N29" s="7" t="inlineStr">
        <is>
          <t>Media</t>
        </is>
      </c>
      <c r="O29" s="7" t="inlineStr">
        <is>
          <t>Sobre avenida.</t>
        </is>
      </c>
    </row>
    <row r="30">
      <c r="A30" s="6" t="n">
        <v>27</v>
      </c>
      <c r="B30" s="7" t="inlineStr">
        <is>
          <t>Anillo 2</t>
        </is>
      </c>
      <c r="C30" s="7" t="inlineStr">
        <is>
          <t>Argentec Herramientas (Flores)</t>
        </is>
      </c>
      <c r="D30" s="7" t="inlineStr">
        <is>
          <t>Flores</t>
        </is>
      </c>
      <c r="E30" s="7" t="inlineStr">
        <is>
          <t>Av. Gaona 3059</t>
        </is>
      </c>
      <c r="F30" s="7" t="inlineStr"/>
      <c r="G30" s="7" t="inlineStr">
        <is>
          <t>confirmar</t>
        </is>
      </c>
      <c r="H30" s="7" t="inlineStr"/>
      <c r="I30" s="7" t="inlineStr">
        <is>
          <t>argentec.com.ar</t>
        </is>
      </c>
      <c r="J30" s="7" t="inlineStr"/>
      <c r="K30" s="7" t="inlineStr"/>
      <c r="L30" s="7" t="inlineStr"/>
      <c r="M30" s="7" t="inlineStr">
        <is>
          <t>Sin contactar</t>
        </is>
      </c>
      <c r="N30" s="7" t="inlineStr">
        <is>
          <t>Alta</t>
        </is>
      </c>
      <c r="O30" s="7" t="inlineStr">
        <is>
          <t>Cadena con red de sucursales y web.</t>
        </is>
      </c>
    </row>
    <row r="31">
      <c r="A31" s="6" t="n">
        <v>28</v>
      </c>
      <c r="B31" s="7" t="inlineStr">
        <is>
          <t>Anillo 2</t>
        </is>
      </c>
      <c r="C31" s="7" t="inlineStr">
        <is>
          <t>Ferretería (Eva Perón 4285)</t>
        </is>
      </c>
      <c r="D31" s="7" t="inlineStr">
        <is>
          <t>Parque Avellaneda</t>
        </is>
      </c>
      <c r="E31" s="7" t="inlineStr">
        <is>
          <t>Av. Eva Perón 4285</t>
        </is>
      </c>
      <c r="F31" s="7" t="inlineStr">
        <is>
          <t>011 4671-6241</t>
        </is>
      </c>
      <c r="G31" s="7" t="inlineStr">
        <is>
          <t>confirmar</t>
        </is>
      </c>
      <c r="H31" s="7" t="inlineStr"/>
      <c r="I31" s="7" t="inlineStr"/>
      <c r="J31" s="7" t="inlineStr"/>
      <c r="K31" s="7" t="inlineStr"/>
      <c r="L31" s="7" t="inlineStr"/>
      <c r="M31" s="7" t="inlineStr">
        <is>
          <t>Sin contactar</t>
        </is>
      </c>
      <c r="N31" s="7" t="inlineStr">
        <is>
          <t>Media</t>
        </is>
      </c>
      <c r="O31" s="7" t="inlineStr">
        <is>
          <t>Sobre avenida.</t>
        </is>
      </c>
    </row>
    <row r="32">
      <c r="A32" s="6" t="n">
        <v>29</v>
      </c>
      <c r="B32" s="7" t="inlineStr">
        <is>
          <t>Anillo 2</t>
        </is>
      </c>
      <c r="C32" s="7" t="inlineStr">
        <is>
          <t>Ferretería (Mariano Acosta)</t>
        </is>
      </c>
      <c r="D32" s="7" t="inlineStr">
        <is>
          <t>Parque Avellaneda</t>
        </is>
      </c>
      <c r="E32" s="7" t="inlineStr">
        <is>
          <t>Mariano Acosta 1066</t>
        </is>
      </c>
      <c r="F32" s="7" t="inlineStr">
        <is>
          <t>011 4613-9083</t>
        </is>
      </c>
      <c r="G32" s="7" t="inlineStr">
        <is>
          <t>confirmar</t>
        </is>
      </c>
      <c r="H32" s="7" t="inlineStr"/>
      <c r="I32" s="7" t="inlineStr"/>
      <c r="J32" s="7" t="inlineStr"/>
      <c r="K32" s="7" t="inlineStr"/>
      <c r="L32" s="7" t="inlineStr"/>
      <c r="M32" s="7" t="inlineStr">
        <is>
          <t>Sin contactar</t>
        </is>
      </c>
      <c r="N32" s="7" t="inlineStr">
        <is>
          <t>Media</t>
        </is>
      </c>
      <c r="O32" s="7" t="inlineStr">
        <is>
          <t>Directorio Pque Avellaneda.</t>
        </is>
      </c>
    </row>
    <row r="33">
      <c r="A33" s="6" t="n">
        <v>30</v>
      </c>
      <c r="B33" s="7" t="inlineStr">
        <is>
          <t>Anillo 2</t>
        </is>
      </c>
      <c r="C33" s="7" t="inlineStr">
        <is>
          <t>Ferretería (Eva Perón 4388)</t>
        </is>
      </c>
      <c r="D33" s="7" t="inlineStr">
        <is>
          <t>Parque Avellaneda</t>
        </is>
      </c>
      <c r="E33" s="7" t="inlineStr">
        <is>
          <t>Av. Eva Perón 4388</t>
        </is>
      </c>
      <c r="F33" s="7" t="inlineStr">
        <is>
          <t>011 4672-1745</t>
        </is>
      </c>
      <c r="G33" s="7" t="inlineStr">
        <is>
          <t>confirmar</t>
        </is>
      </c>
      <c r="H33" s="7" t="inlineStr"/>
      <c r="I33" s="7" t="inlineStr"/>
      <c r="J33" s="7" t="inlineStr"/>
      <c r="K33" s="7" t="inlineStr"/>
      <c r="L33" s="7" t="inlineStr"/>
      <c r="M33" s="7" t="inlineStr">
        <is>
          <t>Sin contactar</t>
        </is>
      </c>
      <c r="N33" s="7" t="inlineStr">
        <is>
          <t>Media</t>
        </is>
      </c>
      <c r="O33" s="7" t="inlineStr">
        <is>
          <t>Sobre avenida.</t>
        </is>
      </c>
    </row>
    <row r="34">
      <c r="A34" s="6" t="n">
        <v>31</v>
      </c>
      <c r="B34" s="7" t="inlineStr">
        <is>
          <t>Anillo 2</t>
        </is>
      </c>
      <c r="C34" s="7" t="inlineStr">
        <is>
          <t>Ferretería (Barco Centenera)</t>
        </is>
      </c>
      <c r="D34" s="7" t="inlineStr">
        <is>
          <t>Parque Chacabuco</t>
        </is>
      </c>
      <c r="E34" s="7" t="inlineStr">
        <is>
          <t>Av. del Barco Centenera 2227</t>
        </is>
      </c>
      <c r="F34" s="7" t="inlineStr">
        <is>
          <t>011 4923-4098</t>
        </is>
      </c>
      <c r="G34" s="7" t="inlineStr">
        <is>
          <t>confirmar</t>
        </is>
      </c>
      <c r="H34" s="7" t="inlineStr"/>
      <c r="I34" s="7" t="inlineStr"/>
      <c r="J34" s="7" t="inlineStr"/>
      <c r="K34" s="7" t="inlineStr"/>
      <c r="L34" s="7" t="inlineStr"/>
      <c r="M34" s="7" t="inlineStr">
        <is>
          <t>Sin contactar</t>
        </is>
      </c>
      <c r="N34" s="7" t="inlineStr">
        <is>
          <t>Media</t>
        </is>
      </c>
      <c r="O34" s="7" t="inlineStr">
        <is>
          <t>Sobre avenida.</t>
        </is>
      </c>
    </row>
    <row r="35">
      <c r="A35" s="6" t="n">
        <v>32</v>
      </c>
      <c r="B35" s="7" t="inlineStr">
        <is>
          <t>Anillo 2</t>
        </is>
      </c>
      <c r="C35" s="7" t="inlineStr">
        <is>
          <t>Ferretería (Directorio 1650)</t>
        </is>
      </c>
      <c r="D35" s="7" t="inlineStr">
        <is>
          <t>Parque Chacabuco</t>
        </is>
      </c>
      <c r="E35" s="7" t="inlineStr">
        <is>
          <t>Av. Directorio 1650</t>
        </is>
      </c>
      <c r="F35" s="7" t="inlineStr">
        <is>
          <t>011 4432-79 (confirmar)</t>
        </is>
      </c>
      <c r="G35" s="7" t="inlineStr">
        <is>
          <t>confirmar</t>
        </is>
      </c>
      <c r="H35" s="7" t="inlineStr"/>
      <c r="I35" s="7" t="inlineStr"/>
      <c r="J35" s="7" t="inlineStr"/>
      <c r="K35" s="7" t="inlineStr"/>
      <c r="L35" s="7" t="inlineStr"/>
      <c r="M35" s="7" t="inlineStr">
        <is>
          <t>Sin contactar</t>
        </is>
      </c>
      <c r="N35" s="7" t="inlineStr">
        <is>
          <t>Media</t>
        </is>
      </c>
      <c r="O35" s="7" t="inlineStr">
        <is>
          <t>Verificar teléfono completo.</t>
        </is>
      </c>
    </row>
    <row r="36">
      <c r="A36" s="6" t="n">
        <v>33</v>
      </c>
      <c r="B36" s="7" t="inlineStr">
        <is>
          <t>Anillo 2</t>
        </is>
      </c>
      <c r="C36" s="7" t="inlineStr">
        <is>
          <t>Ferretería (Donato Álvarez 2203)</t>
        </is>
      </c>
      <c r="D36" s="7" t="inlineStr">
        <is>
          <t>La Paternal</t>
        </is>
      </c>
      <c r="E36" s="7" t="inlineStr">
        <is>
          <t>Av. Donato Álvarez 2203</t>
        </is>
      </c>
      <c r="F36" s="7" t="inlineStr">
        <is>
          <t>011 4826-4009</t>
        </is>
      </c>
      <c r="G36" s="7" t="inlineStr">
        <is>
          <t>confirmar</t>
        </is>
      </c>
      <c r="H36" s="7" t="inlineStr"/>
      <c r="I36" s="7" t="inlineStr"/>
      <c r="J36" s="7" t="inlineStr"/>
      <c r="K36" s="7" t="inlineStr"/>
      <c r="L36" s="7" t="inlineStr"/>
      <c r="M36" s="7" t="inlineStr">
        <is>
          <t>Sin contactar</t>
        </is>
      </c>
      <c r="N36" s="7" t="inlineStr">
        <is>
          <t>Media</t>
        </is>
      </c>
      <c r="O36" s="7" t="inlineStr">
        <is>
          <t>Sobre avenida.</t>
        </is>
      </c>
    </row>
    <row r="37">
      <c r="A37" s="6" t="n">
        <v>34</v>
      </c>
      <c r="B37" s="7" t="inlineStr">
        <is>
          <t>Anillo 2</t>
        </is>
      </c>
      <c r="C37" s="7" t="inlineStr">
        <is>
          <t>Ferretería (Donato Álvarez 3156)</t>
        </is>
      </c>
      <c r="D37" s="7" t="inlineStr">
        <is>
          <t>La Paternal</t>
        </is>
      </c>
      <c r="E37" s="7" t="inlineStr">
        <is>
          <t>Av. Donato Álvarez 3156</t>
        </is>
      </c>
      <c r="F37" s="7" t="inlineStr">
        <is>
          <t>011 4521-2682</t>
        </is>
      </c>
      <c r="G37" s="7" t="inlineStr">
        <is>
          <t>confirmar</t>
        </is>
      </c>
      <c r="H37" s="7" t="inlineStr"/>
      <c r="I37" s="7" t="inlineStr"/>
      <c r="J37" s="7" t="inlineStr"/>
      <c r="K37" s="7" t="inlineStr"/>
      <c r="L37" s="7" t="inlineStr"/>
      <c r="M37" s="7" t="inlineStr">
        <is>
          <t>Sin contactar</t>
        </is>
      </c>
      <c r="N37" s="7" t="inlineStr">
        <is>
          <t>Media</t>
        </is>
      </c>
      <c r="O37" s="7" t="inlineStr">
        <is>
          <t>Sobre avenida.</t>
        </is>
      </c>
    </row>
    <row r="38">
      <c r="A38" s="6" t="n">
        <v>35</v>
      </c>
      <c r="B38" s="7" t="inlineStr">
        <is>
          <t>Anillo 2</t>
        </is>
      </c>
      <c r="C38" s="7" t="inlineStr">
        <is>
          <t>Ferretería (San Martín 3202)</t>
        </is>
      </c>
      <c r="D38" s="7" t="inlineStr">
        <is>
          <t>La Paternal</t>
        </is>
      </c>
      <c r="E38" s="7" t="inlineStr">
        <is>
          <t>Av. San Martín 3202</t>
        </is>
      </c>
      <c r="F38" s="7" t="inlineStr">
        <is>
          <t>011 4581-6195</t>
        </is>
      </c>
      <c r="G38" s="7" t="inlineStr">
        <is>
          <t>confirmar</t>
        </is>
      </c>
      <c r="H38" s="7" t="inlineStr"/>
      <c r="I38" s="7" t="inlineStr"/>
      <c r="J38" s="7" t="inlineStr"/>
      <c r="K38" s="7" t="inlineStr"/>
      <c r="L38" s="7" t="inlineStr"/>
      <c r="M38" s="7" t="inlineStr">
        <is>
          <t>Sin contactar</t>
        </is>
      </c>
      <c r="N38" s="7" t="inlineStr">
        <is>
          <t>Media</t>
        </is>
      </c>
      <c r="O38" s="7" t="inlineStr">
        <is>
          <t>Sobre avenida San Martín.</t>
        </is>
      </c>
    </row>
    <row r="39">
      <c r="A39" s="6" t="n">
        <v>36</v>
      </c>
      <c r="B39" s="7" t="inlineStr">
        <is>
          <t>Anillo 2</t>
        </is>
      </c>
      <c r="C39" s="7" t="inlineStr">
        <is>
          <t>Argentec Herramientas (V. Crespo)</t>
        </is>
      </c>
      <c r="D39" s="7" t="inlineStr">
        <is>
          <t>Villa Crespo</t>
        </is>
      </c>
      <c r="E39" s="7" t="inlineStr">
        <is>
          <t>Av. Córdoba 5786</t>
        </is>
      </c>
      <c r="F39" s="7" t="inlineStr"/>
      <c r="G39" s="7" t="inlineStr">
        <is>
          <t>confirmar</t>
        </is>
      </c>
      <c r="H39" s="7" t="inlineStr"/>
      <c r="I39" s="7" t="inlineStr">
        <is>
          <t>argentec.com.ar</t>
        </is>
      </c>
      <c r="J39" s="7" t="inlineStr"/>
      <c r="K39" s="7" t="inlineStr"/>
      <c r="L39" s="7" t="inlineStr"/>
      <c r="M39" s="7" t="inlineStr">
        <is>
          <t>Sin contactar</t>
        </is>
      </c>
      <c r="N39" s="7" t="inlineStr">
        <is>
          <t>Alta</t>
        </is>
      </c>
      <c r="O39" s="7" t="inlineStr">
        <is>
          <t>Cadena con web.</t>
        </is>
      </c>
    </row>
    <row r="40">
      <c r="A40" s="6" t="n">
        <v>37</v>
      </c>
      <c r="B40" s="7" t="inlineStr">
        <is>
          <t>Anillo 2</t>
        </is>
      </c>
      <c r="C40" s="7" t="inlineStr">
        <is>
          <t>Argentec Herramientas (V. Crespo 2)</t>
        </is>
      </c>
      <c r="D40" s="7" t="inlineStr">
        <is>
          <t>Villa Crespo</t>
        </is>
      </c>
      <c r="E40" s="7" t="inlineStr">
        <is>
          <t>Av. Córdoba 4038</t>
        </is>
      </c>
      <c r="F40" s="7" t="inlineStr"/>
      <c r="G40" s="7" t="inlineStr">
        <is>
          <t>confirmar</t>
        </is>
      </c>
      <c r="H40" s="7" t="inlineStr"/>
      <c r="I40" s="7" t="inlineStr">
        <is>
          <t>argentec.com.ar</t>
        </is>
      </c>
      <c r="J40" s="7" t="inlineStr"/>
      <c r="K40" s="7" t="inlineStr"/>
      <c r="L40" s="7" t="inlineStr"/>
      <c r="M40" s="7" t="inlineStr">
        <is>
          <t>Sin contactar</t>
        </is>
      </c>
      <c r="N40" s="7" t="inlineStr">
        <is>
          <t>Media</t>
        </is>
      </c>
      <c r="O40" s="7" t="inlineStr">
        <is>
          <t>Cadena con web.</t>
        </is>
      </c>
    </row>
    <row r="41">
      <c r="A41" s="6" t="n">
        <v>38</v>
      </c>
      <c r="B41" s="7" t="inlineStr">
        <is>
          <t>Anillo 2</t>
        </is>
      </c>
      <c r="C41" s="7" t="inlineStr">
        <is>
          <t>Herramientas Dali S.R.L. (V. Crespo)</t>
        </is>
      </c>
      <c r="D41" s="7" t="inlineStr">
        <is>
          <t>Villa Crespo</t>
        </is>
      </c>
      <c r="E41" s="7" t="inlineStr">
        <is>
          <t>Montenegro 32</t>
        </is>
      </c>
      <c r="F41" s="7" t="inlineStr"/>
      <c r="G41" s="7" t="inlineStr">
        <is>
          <t>confirmar</t>
        </is>
      </c>
      <c r="H41" s="7" t="inlineStr"/>
      <c r="I41" s="7" t="inlineStr"/>
      <c r="J41" s="7" t="inlineStr"/>
      <c r="K41" s="7" t="inlineStr"/>
      <c r="L41" s="7" t="inlineStr"/>
      <c r="M41" s="7" t="inlineStr">
        <is>
          <t>Sin contactar</t>
        </is>
      </c>
      <c r="N41" s="7" t="inlineStr">
        <is>
          <t>Media</t>
        </is>
      </c>
      <c r="O41" s="7" t="inlineStr">
        <is>
          <t>Directorio V. Crespo.</t>
        </is>
      </c>
    </row>
    <row r="42">
      <c r="A42" s="6" t="n">
        <v>39</v>
      </c>
      <c r="B42" s="7" t="inlineStr">
        <is>
          <t>Anillo 2</t>
        </is>
      </c>
      <c r="C42" s="7" t="inlineStr">
        <is>
          <t>Argentec Herramientas (Boedo)</t>
        </is>
      </c>
      <c r="D42" s="7" t="inlineStr">
        <is>
          <t>Boedo</t>
        </is>
      </c>
      <c r="E42" s="7" t="inlineStr">
        <is>
          <t>Av. Asamblea 524</t>
        </is>
      </c>
      <c r="F42" s="7" t="inlineStr"/>
      <c r="G42" s="7" t="inlineStr">
        <is>
          <t>confirmar</t>
        </is>
      </c>
      <c r="H42" s="7" t="inlineStr"/>
      <c r="I42" s="7" t="inlineStr">
        <is>
          <t>argentec.com.ar</t>
        </is>
      </c>
      <c r="J42" s="7" t="inlineStr"/>
      <c r="K42" s="7" t="inlineStr"/>
      <c r="L42" s="7" t="inlineStr"/>
      <c r="M42" s="7" t="inlineStr">
        <is>
          <t>Sin contactar</t>
        </is>
      </c>
      <c r="N42" s="7" t="inlineStr">
        <is>
          <t>Alta</t>
        </is>
      </c>
      <c r="O42" s="7" t="inlineStr">
        <is>
          <t>Cadena con web.</t>
        </is>
      </c>
    </row>
    <row r="43">
      <c r="A43" s="6" t="n">
        <v>40</v>
      </c>
      <c r="B43" s="7" t="inlineStr">
        <is>
          <t>Anillo 2</t>
        </is>
      </c>
      <c r="C43" s="7" t="inlineStr">
        <is>
          <t>Casa Aldo (ferretería y herrajes)</t>
        </is>
      </c>
      <c r="D43" s="7" t="inlineStr">
        <is>
          <t>Villa Pueyrredón</t>
        </is>
      </c>
      <c r="E43" s="7" t="inlineStr">
        <is>
          <t>Salvador M. del Carril 2921</t>
        </is>
      </c>
      <c r="F43" s="7" t="inlineStr">
        <is>
          <t>011 4572-7412</t>
        </is>
      </c>
      <c r="G43" s="7" t="inlineStr">
        <is>
          <t>confirmar</t>
        </is>
      </c>
      <c r="H43" s="7" t="inlineStr"/>
      <c r="I43" s="7" t="inlineStr"/>
      <c r="J43" s="7" t="inlineStr"/>
      <c r="K43" s="7" t="inlineStr"/>
      <c r="L43" s="7" t="inlineStr"/>
      <c r="M43" s="7" t="inlineStr">
        <is>
          <t>Sin contactar</t>
        </is>
      </c>
      <c r="N43" s="7" t="inlineStr">
        <is>
          <t>Media</t>
        </is>
      </c>
      <c r="O43" s="7" t="inlineStr">
        <is>
          <t>Ferretería + herrajes.</t>
        </is>
      </c>
    </row>
    <row r="44">
      <c r="A44" s="6" t="n">
        <v>41</v>
      </c>
      <c r="B44" s="7" t="inlineStr">
        <is>
          <t>Anillo 2</t>
        </is>
      </c>
      <c r="C44" s="7" t="inlineStr">
        <is>
          <t>Ferretería (Artigas 5676)</t>
        </is>
      </c>
      <c r="D44" s="7" t="inlineStr">
        <is>
          <t>Villa Pueyrredón</t>
        </is>
      </c>
      <c r="E44" s="7" t="inlineStr">
        <is>
          <t>Gral. Artigas 5676</t>
        </is>
      </c>
      <c r="F44" s="7" t="inlineStr">
        <is>
          <t>011 4572-7616</t>
        </is>
      </c>
      <c r="G44" s="7" t="inlineStr">
        <is>
          <t>confirmar</t>
        </is>
      </c>
      <c r="H44" s="7" t="inlineStr"/>
      <c r="I44" s="7" t="inlineStr"/>
      <c r="J44" s="7" t="inlineStr"/>
      <c r="K44" s="7" t="inlineStr"/>
      <c r="L44" s="7" t="inlineStr"/>
      <c r="M44" s="7" t="inlineStr">
        <is>
          <t>Sin contactar</t>
        </is>
      </c>
      <c r="N44" s="7" t="inlineStr">
        <is>
          <t>Baja</t>
        </is>
      </c>
      <c r="O44" s="7" t="inlineStr">
        <is>
          <t>Directorio V. Pueyrredón.</t>
        </is>
      </c>
    </row>
    <row r="45">
      <c r="A45" s="6" t="n">
        <v>42</v>
      </c>
      <c r="B45" s="7" t="inlineStr">
        <is>
          <t>Anillo 2</t>
        </is>
      </c>
      <c r="C45" s="7" t="inlineStr">
        <is>
          <t>Ferretería (Artigas 5299)</t>
        </is>
      </c>
      <c r="D45" s="7" t="inlineStr">
        <is>
          <t>Villa Pueyrredón</t>
        </is>
      </c>
      <c r="E45" s="7" t="inlineStr">
        <is>
          <t>Gral. Artigas 5299</t>
        </is>
      </c>
      <c r="F45" s="7" t="inlineStr">
        <is>
          <t>011 4571-2586</t>
        </is>
      </c>
      <c r="G45" s="7" t="inlineStr">
        <is>
          <t>confirmar</t>
        </is>
      </c>
      <c r="H45" s="7" t="inlineStr"/>
      <c r="I45" s="7" t="inlineStr"/>
      <c r="J45" s="7" t="inlineStr"/>
      <c r="K45" s="7" t="inlineStr"/>
      <c r="L45" s="7" t="inlineStr"/>
      <c r="M45" s="7" t="inlineStr">
        <is>
          <t>Sin contactar</t>
        </is>
      </c>
      <c r="N45" s="7" t="inlineStr">
        <is>
          <t>Baja</t>
        </is>
      </c>
      <c r="O45" s="7" t="inlineStr">
        <is>
          <t>Directorio V. Pueyrredón.</t>
        </is>
      </c>
    </row>
    <row r="46">
      <c r="A46" s="6" t="n">
        <v>43</v>
      </c>
      <c r="B46" s="7" t="inlineStr">
        <is>
          <t>Anillo 2</t>
        </is>
      </c>
      <c r="C46" s="7" t="inlineStr">
        <is>
          <t>Ferretería (Alberdi 5775)</t>
        </is>
      </c>
      <c r="D46" s="7" t="inlineStr">
        <is>
          <t>Mataderos</t>
        </is>
      </c>
      <c r="E46" s="7" t="inlineStr">
        <is>
          <t>Av. J.B. Alberdi 5775</t>
        </is>
      </c>
      <c r="F46" s="7" t="inlineStr"/>
      <c r="G46" s="7" t="inlineStr">
        <is>
          <t>confirmar</t>
        </is>
      </c>
      <c r="H46" s="7" t="inlineStr"/>
      <c r="I46" s="7" t="inlineStr"/>
      <c r="J46" s="7" t="inlineStr"/>
      <c r="K46" s="7" t="inlineStr"/>
      <c r="L46" s="7" t="inlineStr"/>
      <c r="M46" s="7" t="inlineStr">
        <is>
          <t>Sin contactar</t>
        </is>
      </c>
      <c r="N46" s="7" t="inlineStr">
        <is>
          <t>Media</t>
        </is>
      </c>
      <c r="O46" s="7" t="inlineStr">
        <is>
          <t>Sobre avenida.</t>
        </is>
      </c>
    </row>
    <row r="47">
      <c r="A47" s="6" t="n">
        <v>44</v>
      </c>
      <c r="B47" s="7" t="inlineStr">
        <is>
          <t>Anillo 2</t>
        </is>
      </c>
      <c r="C47" s="7" t="inlineStr">
        <is>
          <t>Ferretería (Larrazábal)</t>
        </is>
      </c>
      <c r="D47" s="7" t="inlineStr">
        <is>
          <t>Mataderos</t>
        </is>
      </c>
      <c r="E47" s="7" t="inlineStr">
        <is>
          <t>Av. Larrazábal 966</t>
        </is>
      </c>
      <c r="F47" s="7" t="inlineStr"/>
      <c r="G47" s="7" t="inlineStr">
        <is>
          <t>confirmar</t>
        </is>
      </c>
      <c r="H47" s="7" t="inlineStr"/>
      <c r="I47" s="7" t="inlineStr"/>
      <c r="J47" s="7" t="inlineStr"/>
      <c r="K47" s="7" t="inlineStr"/>
      <c r="L47" s="7" t="inlineStr"/>
      <c r="M47" s="7" t="inlineStr">
        <is>
          <t>Sin contactar</t>
        </is>
      </c>
      <c r="N47" s="7" t="inlineStr">
        <is>
          <t>Media</t>
        </is>
      </c>
      <c r="O47" s="7" t="inlineStr">
        <is>
          <t>Sobre avenida.</t>
        </is>
      </c>
    </row>
    <row r="48">
      <c r="A48" s="6" t="n">
        <v>45</v>
      </c>
      <c r="B48" s="7" t="inlineStr">
        <is>
          <t>Anillo 2</t>
        </is>
      </c>
      <c r="C48" s="7" t="inlineStr">
        <is>
          <t>Ferretería (Eva Perón 5553)</t>
        </is>
      </c>
      <c r="D48" s="7" t="inlineStr">
        <is>
          <t>Mataderos</t>
        </is>
      </c>
      <c r="E48" s="7" t="inlineStr">
        <is>
          <t>Av. Eva Perón 5553</t>
        </is>
      </c>
      <c r="F48" s="7" t="inlineStr"/>
      <c r="G48" s="7" t="inlineStr">
        <is>
          <t>confirmar</t>
        </is>
      </c>
      <c r="H48" s="7" t="inlineStr"/>
      <c r="I48" s="7" t="inlineStr"/>
      <c r="J48" s="7" t="inlineStr"/>
      <c r="K48" s="7" t="inlineStr"/>
      <c r="L48" s="7" t="inlineStr"/>
      <c r="M48" s="7" t="inlineStr">
        <is>
          <t>Sin contactar</t>
        </is>
      </c>
      <c r="N48" s="7" t="inlineStr">
        <is>
          <t>Media</t>
        </is>
      </c>
      <c r="O48" s="7" t="inlineStr">
        <is>
          <t>Sobre avenida.</t>
        </is>
      </c>
    </row>
    <row r="49">
      <c r="A49" s="6" t="n">
        <v>46</v>
      </c>
      <c r="B49" s="7" t="inlineStr">
        <is>
          <t>Anillo 2</t>
        </is>
      </c>
      <c r="C49" s="7" t="inlineStr">
        <is>
          <t>Ferretería (Oliden)</t>
        </is>
      </c>
      <c r="D49" s="7" t="inlineStr">
        <is>
          <t>Mataderos</t>
        </is>
      </c>
      <c r="E49" s="7" t="inlineStr">
        <is>
          <t>Oliden 2150</t>
        </is>
      </c>
      <c r="F49" s="7" t="inlineStr"/>
      <c r="G49" s="7" t="inlineStr">
        <is>
          <t>confirmar</t>
        </is>
      </c>
      <c r="H49" s="7" t="inlineStr"/>
      <c r="I49" s="7" t="inlineStr"/>
      <c r="J49" s="7" t="inlineStr"/>
      <c r="K49" s="7" t="inlineStr"/>
      <c r="L49" s="7" t="inlineStr"/>
      <c r="M49" s="7" t="inlineStr">
        <is>
          <t>Sin contactar</t>
        </is>
      </c>
      <c r="N49" s="7" t="inlineStr">
        <is>
          <t>Baja</t>
        </is>
      </c>
      <c r="O49" s="7" t="inlineStr">
        <is>
          <t>Directorio Mataderos.</t>
        </is>
      </c>
    </row>
    <row r="50">
      <c r="A50" s="6" t="n">
        <v>47</v>
      </c>
      <c r="B50" s="7" t="inlineStr">
        <is>
          <t>Anillo 2</t>
        </is>
      </c>
      <c r="C50" s="7" t="inlineStr">
        <is>
          <t>Ferretería Avenida</t>
        </is>
      </c>
      <c r="D50" s="7" t="inlineStr">
        <is>
          <t>Mataderos</t>
        </is>
      </c>
      <c r="E50" s="7" t="inlineStr">
        <is>
          <t>(consultar - Buscabaires)</t>
        </is>
      </c>
      <c r="F50" s="7" t="inlineStr"/>
      <c r="G50" s="7" t="inlineStr">
        <is>
          <t>confirmar</t>
        </is>
      </c>
      <c r="H50" s="7" t="inlineStr"/>
      <c r="I50" s="7" t="inlineStr"/>
      <c r="J50" s="7" t="inlineStr"/>
      <c r="K50" s="7" t="inlineStr"/>
      <c r="L50" s="7" t="inlineStr"/>
      <c r="M50" s="7" t="inlineStr">
        <is>
          <t>Sin contactar</t>
        </is>
      </c>
      <c r="N50" s="7" t="inlineStr">
        <is>
          <t>Baja</t>
        </is>
      </c>
      <c r="O50" s="7" t="inlineStr">
        <is>
          <t>Verificar dirección.</t>
        </is>
      </c>
    </row>
    <row r="51">
      <c r="A51" s="6" t="n">
        <v>48</v>
      </c>
      <c r="B51" s="7" t="inlineStr">
        <is>
          <t>Anillo 2</t>
        </is>
      </c>
      <c r="C51" s="7" t="inlineStr">
        <is>
          <t>Ferretería Montiel</t>
        </is>
      </c>
      <c r="D51" s="7" t="inlineStr">
        <is>
          <t>Liniers</t>
        </is>
      </c>
      <c r="E51" s="7" t="inlineStr">
        <is>
          <t>(consultar - Infoisinfo)</t>
        </is>
      </c>
      <c r="F51" s="7" t="inlineStr"/>
      <c r="G51" s="7" t="inlineStr">
        <is>
          <t>confirmar</t>
        </is>
      </c>
      <c r="H51" s="7" t="inlineStr"/>
      <c r="I51" s="7" t="inlineStr"/>
      <c r="J51" s="7" t="inlineStr"/>
      <c r="K51" s="7" t="inlineStr"/>
      <c r="L51" s="7" t="inlineStr"/>
      <c r="M51" s="7" t="inlineStr">
        <is>
          <t>Sin contactar</t>
        </is>
      </c>
      <c r="N51" s="7" t="inlineStr">
        <is>
          <t>Baja</t>
        </is>
      </c>
      <c r="O51" s="7" t="inlineStr">
        <is>
          <t>Verificar dirección.</t>
        </is>
      </c>
    </row>
    <row r="52">
      <c r="A52" s="6" t="n">
        <v>49</v>
      </c>
      <c r="B52" s="7" t="inlineStr">
        <is>
          <t>Anillo 2</t>
        </is>
      </c>
      <c r="C52" s="7" t="inlineStr">
        <is>
          <t>Ferretería El Ahorro</t>
        </is>
      </c>
      <c r="D52" s="7" t="inlineStr">
        <is>
          <t>Liniers</t>
        </is>
      </c>
      <c r="E52" s="7" t="inlineStr">
        <is>
          <t>(consultar - Infoisinfo)</t>
        </is>
      </c>
      <c r="F52" s="7" t="inlineStr"/>
      <c r="G52" s="7" t="inlineStr">
        <is>
          <t>confirmar</t>
        </is>
      </c>
      <c r="H52" s="7" t="inlineStr"/>
      <c r="I52" s="7" t="inlineStr"/>
      <c r="J52" s="7" t="inlineStr"/>
      <c r="K52" s="7" t="inlineStr"/>
      <c r="L52" s="7" t="inlineStr"/>
      <c r="M52" s="7" t="inlineStr">
        <is>
          <t>Sin contactar</t>
        </is>
      </c>
      <c r="N52" s="7" t="inlineStr">
        <is>
          <t>Baja</t>
        </is>
      </c>
      <c r="O52" s="7" t="inlineStr">
        <is>
          <t>Verificar dirección.</t>
        </is>
      </c>
    </row>
    <row r="53">
      <c r="A53" s="6" t="n">
        <v>50</v>
      </c>
      <c r="B53" s="7" t="inlineStr">
        <is>
          <t>Anillo 2</t>
        </is>
      </c>
      <c r="C53" s="7" t="inlineStr">
        <is>
          <t>Ferretería (Sanabria)</t>
        </is>
      </c>
      <c r="D53" s="7" t="inlineStr">
        <is>
          <t>Villa Devoto</t>
        </is>
      </c>
      <c r="E53" s="7" t="inlineStr">
        <is>
          <t>Sanabria 2885</t>
        </is>
      </c>
      <c r="F53" s="7" t="inlineStr"/>
      <c r="G53" s="7" t="inlineStr">
        <is>
          <t>confirmar</t>
        </is>
      </c>
      <c r="H53" s="7" t="inlineStr"/>
      <c r="I53" s="7" t="inlineStr"/>
      <c r="J53" s="7" t="inlineStr"/>
      <c r="K53" s="7" t="inlineStr"/>
      <c r="L53" s="7" t="inlineStr"/>
      <c r="M53" s="7" t="inlineStr">
        <is>
          <t>Sin contactar</t>
        </is>
      </c>
      <c r="N53" s="7" t="inlineStr">
        <is>
          <t>Media</t>
        </is>
      </c>
      <c r="O53" s="7" t="inlineStr">
        <is>
          <t>Directorio V. Devoto.</t>
        </is>
      </c>
    </row>
    <row r="54">
      <c r="A54" s="6" t="n">
        <v>51</v>
      </c>
      <c r="B54" s="7" t="inlineStr">
        <is>
          <t>Anillo 2</t>
        </is>
      </c>
      <c r="C54" s="7" t="inlineStr">
        <is>
          <t>Ferretería (Segurola)</t>
        </is>
      </c>
      <c r="D54" s="7" t="inlineStr">
        <is>
          <t>Villa Devoto</t>
        </is>
      </c>
      <c r="E54" s="7" t="inlineStr">
        <is>
          <t>Av. Segurola 2884</t>
        </is>
      </c>
      <c r="F54" s="7" t="inlineStr"/>
      <c r="G54" s="7" t="inlineStr">
        <is>
          <t>confirmar</t>
        </is>
      </c>
      <c r="H54" s="7" t="inlineStr"/>
      <c r="I54" s="7" t="inlineStr"/>
      <c r="J54" s="7" t="inlineStr"/>
      <c r="K54" s="7" t="inlineStr"/>
      <c r="L54" s="7" t="inlineStr"/>
      <c r="M54" s="7" t="inlineStr">
        <is>
          <t>Sin contactar</t>
        </is>
      </c>
      <c r="N54" s="7" t="inlineStr">
        <is>
          <t>Media</t>
        </is>
      </c>
      <c r="O54" s="7" t="inlineStr">
        <is>
          <t>Sobre avenida.</t>
        </is>
      </c>
    </row>
    <row r="55">
      <c r="A55" s="6" t="n">
        <v>52</v>
      </c>
      <c r="B55" s="7" t="inlineStr">
        <is>
          <t>Anillo 2</t>
        </is>
      </c>
      <c r="C55" s="7" t="inlineStr">
        <is>
          <t>Ferretería (Marcos Paz)</t>
        </is>
      </c>
      <c r="D55" s="7" t="inlineStr">
        <is>
          <t>Villa Devoto</t>
        </is>
      </c>
      <c r="E55" s="7" t="inlineStr">
        <is>
          <t>Marcos Paz 4510</t>
        </is>
      </c>
      <c r="F55" s="7" t="inlineStr"/>
      <c r="G55" s="7" t="inlineStr">
        <is>
          <t>confirmar</t>
        </is>
      </c>
      <c r="H55" s="7" t="inlineStr"/>
      <c r="I55" s="7" t="inlineStr"/>
      <c r="J55" s="7" t="inlineStr"/>
      <c r="K55" s="7" t="inlineStr"/>
      <c r="L55" s="7" t="inlineStr"/>
      <c r="M55" s="7" t="inlineStr">
        <is>
          <t>Sin contactar</t>
        </is>
      </c>
      <c r="N55" s="7" t="inlineStr">
        <is>
          <t>Media</t>
        </is>
      </c>
      <c r="O55" s="7" t="inlineStr">
        <is>
          <t>Directorio V. Devoto.</t>
        </is>
      </c>
    </row>
    <row r="56">
      <c r="A56" s="8" t="n">
        <v>53</v>
      </c>
      <c r="B56" s="9" t="inlineStr">
        <is>
          <t>Anillo 3</t>
        </is>
      </c>
      <c r="C56" s="9" t="inlineStr">
        <is>
          <t>Ferretería del Once</t>
        </is>
      </c>
      <c r="D56" s="9" t="inlineStr">
        <is>
          <t>Balvanera / Once</t>
        </is>
      </c>
      <c r="E56" s="9" t="inlineStr">
        <is>
          <t>Sarmiento 2846</t>
        </is>
      </c>
      <c r="F56" s="9" t="inlineStr">
        <is>
          <t>011 4687-0696</t>
        </is>
      </c>
      <c r="G56" s="9" t="inlineStr">
        <is>
          <t>confirmar</t>
        </is>
      </c>
      <c r="H56" s="9" t="inlineStr"/>
      <c r="I56" s="9" t="inlineStr">
        <is>
          <t>facebook.com/p/Ferreteria-del-once</t>
        </is>
      </c>
      <c r="J56" s="9" t="inlineStr"/>
      <c r="K56" s="9" t="inlineStr">
        <is>
          <t>L-V 9-18, Sáb AM</t>
        </is>
      </c>
      <c r="L56" s="9" t="inlineStr"/>
      <c r="M56" s="9" t="inlineStr">
        <is>
          <t>Sin contactar</t>
        </is>
      </c>
      <c r="N56" s="9" t="inlineStr">
        <is>
          <t>Alta</t>
        </is>
      </c>
      <c r="O56" s="9" t="inlineStr">
        <is>
          <t>Zona mayorista Once. 35+ años.</t>
        </is>
      </c>
    </row>
    <row r="57">
      <c r="A57" s="8" t="n">
        <v>54</v>
      </c>
      <c r="B57" s="9" t="inlineStr">
        <is>
          <t>Anillo 3</t>
        </is>
      </c>
      <c r="C57" s="9" t="inlineStr">
        <is>
          <t>RIVAFER</t>
        </is>
      </c>
      <c r="D57" s="9" t="inlineStr">
        <is>
          <t>Once / Balvanera</t>
        </is>
      </c>
      <c r="E57" s="9" t="inlineStr">
        <is>
          <t>(consultar web)</t>
        </is>
      </c>
      <c r="F57" s="9" t="inlineStr"/>
      <c r="G57" s="9" t="inlineStr"/>
      <c r="H57" s="9" t="inlineStr"/>
      <c r="I57" s="9" t="inlineStr">
        <is>
          <t>rivafer.com.ar</t>
        </is>
      </c>
      <c r="J57" s="9" t="inlineStr"/>
      <c r="K57" s="9" t="inlineStr"/>
      <c r="L57" s="9" t="inlineStr"/>
      <c r="M57" s="9" t="inlineStr">
        <is>
          <t>Sin contactar</t>
        </is>
      </c>
      <c r="N57" s="9" t="inlineStr">
        <is>
          <t>Alta</t>
        </is>
      </c>
      <c r="O57" s="9" t="inlineStr">
        <is>
          <t>E-commerce propio.</t>
        </is>
      </c>
    </row>
    <row r="58">
      <c r="A58" s="8" t="n">
        <v>55</v>
      </c>
      <c r="B58" s="9" t="inlineStr">
        <is>
          <t>Anillo 3</t>
        </is>
      </c>
      <c r="C58" s="9" t="inlineStr">
        <is>
          <t>Ferretería El Once</t>
        </is>
      </c>
      <c r="D58" s="9" t="inlineStr">
        <is>
          <t>Once / Balvanera</t>
        </is>
      </c>
      <c r="E58" s="9" t="inlineStr">
        <is>
          <t>(tienda online)</t>
        </is>
      </c>
      <c r="F58" s="9" t="inlineStr"/>
      <c r="G58" s="9" t="inlineStr"/>
      <c r="H58" s="9" t="inlineStr"/>
      <c r="I58" s="9" t="inlineStr">
        <is>
          <t>ferreteriaelonce.com</t>
        </is>
      </c>
      <c r="J58" s="9" t="inlineStr"/>
      <c r="K58" s="9" t="inlineStr"/>
      <c r="L58" s="9" t="inlineStr"/>
      <c r="M58" s="9" t="inlineStr">
        <is>
          <t>Sin contactar</t>
        </is>
      </c>
      <c r="N58" s="9" t="inlineStr">
        <is>
          <t>Alta</t>
        </is>
      </c>
      <c r="O58" s="9" t="inlineStr">
        <is>
          <t>Vende online. Mayorista.</t>
        </is>
      </c>
    </row>
    <row r="59">
      <c r="A59" s="8" t="n">
        <v>56</v>
      </c>
      <c r="B59" s="9" t="inlineStr">
        <is>
          <t>Anillo 3</t>
        </is>
      </c>
      <c r="C59" s="9" t="inlineStr">
        <is>
          <t>MAABA Distribuidora</t>
        </is>
      </c>
      <c r="D59" s="9" t="inlineStr">
        <is>
          <t>Villa Lugano</t>
        </is>
      </c>
      <c r="E59" s="9" t="inlineStr">
        <is>
          <t>Zelada 6523</t>
        </is>
      </c>
      <c r="F59" s="9" t="inlineStr">
        <is>
          <t>011 7569-4425</t>
        </is>
      </c>
      <c r="G59" s="9" t="inlineStr">
        <is>
          <t>11 5429-1284</t>
        </is>
      </c>
      <c r="H59" s="9" t="inlineStr"/>
      <c r="I59" s="9" t="inlineStr">
        <is>
          <t>maaba.com.ar</t>
        </is>
      </c>
      <c r="J59" s="9" t="inlineStr"/>
      <c r="K59" s="9" t="inlineStr"/>
      <c r="L59" s="9" t="inlineStr"/>
      <c r="M59" s="9" t="inlineStr">
        <is>
          <t>Sin contactar</t>
        </is>
      </c>
      <c r="N59" s="9" t="inlineStr">
        <is>
          <t>Alta</t>
        </is>
      </c>
      <c r="O59" s="9" t="inlineStr">
        <is>
          <t>Distribuidora. Móvil = WhatsApp probable.</t>
        </is>
      </c>
    </row>
    <row r="60">
      <c r="A60" s="8" t="n">
        <v>57</v>
      </c>
      <c r="B60" s="9" t="inlineStr">
        <is>
          <t>Anillo 3</t>
        </is>
      </c>
      <c r="C60" s="9" t="inlineStr">
        <is>
          <t>Ferretería Belgrano</t>
        </is>
      </c>
      <c r="D60" s="9" t="inlineStr">
        <is>
          <t>Belgrano</t>
        </is>
      </c>
      <c r="E60" s="9" t="inlineStr">
        <is>
          <t>Manuel Ugarte 2391 / Zapiola 2468</t>
        </is>
      </c>
      <c r="F60" s="9" t="inlineStr"/>
      <c r="G60" s="9" t="inlineStr">
        <is>
          <t>confirmar</t>
        </is>
      </c>
      <c r="H60" s="9" t="inlineStr"/>
      <c r="I60" s="9" t="inlineStr"/>
      <c r="J60" s="9" t="inlineStr">
        <is>
          <t>instagram.com/ferreteriabelgrano2</t>
        </is>
      </c>
      <c r="K60" s="9" t="inlineStr"/>
      <c r="L60" s="9" t="inlineStr"/>
      <c r="M60" s="9" t="inlineStr">
        <is>
          <t>Sin contactar</t>
        </is>
      </c>
      <c r="N60" s="9" t="inlineStr">
        <is>
          <t>Alta</t>
        </is>
      </c>
      <c r="O60" s="9" t="inlineStr">
        <is>
          <t>2 sucursales. IG activo.</t>
        </is>
      </c>
    </row>
    <row r="61">
      <c r="A61" s="8" t="n">
        <v>58</v>
      </c>
      <c r="B61" s="9" t="inlineStr">
        <is>
          <t>Anillo 3</t>
        </is>
      </c>
      <c r="C61" s="9" t="inlineStr">
        <is>
          <t>Ferretería (Monroe 3626)</t>
        </is>
      </c>
      <c r="D61" s="9" t="inlineStr">
        <is>
          <t>Belgrano</t>
        </is>
      </c>
      <c r="E61" s="9" t="inlineStr">
        <is>
          <t>Av. Monroe 3626</t>
        </is>
      </c>
      <c r="F61" s="9" t="inlineStr">
        <is>
          <t>011 4541-6047</t>
        </is>
      </c>
      <c r="G61" s="9" t="inlineStr">
        <is>
          <t>confirmar</t>
        </is>
      </c>
      <c r="H61" s="9" t="inlineStr"/>
      <c r="I61" s="9" t="inlineStr"/>
      <c r="J61" s="9" t="inlineStr"/>
      <c r="K61" s="9" t="inlineStr"/>
      <c r="L61" s="9" t="inlineStr"/>
      <c r="M61" s="9" t="inlineStr">
        <is>
          <t>Sin contactar</t>
        </is>
      </c>
      <c r="N61" s="9" t="inlineStr">
        <is>
          <t>Media</t>
        </is>
      </c>
      <c r="O61" s="9" t="inlineStr">
        <is>
          <t>Directorio Belgrano.</t>
        </is>
      </c>
    </row>
    <row r="62">
      <c r="A62" s="8" t="n">
        <v>59</v>
      </c>
      <c r="B62" s="9" t="inlineStr">
        <is>
          <t>Anillo 3</t>
        </is>
      </c>
      <c r="C62" s="9" t="inlineStr">
        <is>
          <t>Ferretería (Juramento)</t>
        </is>
      </c>
      <c r="D62" s="9" t="inlineStr">
        <is>
          <t>Belgrano</t>
        </is>
      </c>
      <c r="E62" s="9" t="inlineStr">
        <is>
          <t>Juramento 3125</t>
        </is>
      </c>
      <c r="F62" s="9" t="inlineStr">
        <is>
          <t>011 4544-9991</t>
        </is>
      </c>
      <c r="G62" s="9" t="inlineStr">
        <is>
          <t>confirmar</t>
        </is>
      </c>
      <c r="H62" s="9" t="inlineStr"/>
      <c r="I62" s="9" t="inlineStr"/>
      <c r="J62" s="9" t="inlineStr"/>
      <c r="K62" s="9" t="inlineStr"/>
      <c r="L62" s="9" t="inlineStr"/>
      <c r="M62" s="9" t="inlineStr">
        <is>
          <t>Sin contactar</t>
        </is>
      </c>
      <c r="N62" s="9" t="inlineStr">
        <is>
          <t>Media</t>
        </is>
      </c>
      <c r="O62" s="9" t="inlineStr">
        <is>
          <t>Directorio Belgrano.</t>
        </is>
      </c>
    </row>
    <row r="63">
      <c r="A63" s="8" t="n">
        <v>60</v>
      </c>
      <c r="B63" s="9" t="inlineStr">
        <is>
          <t>Anillo 3</t>
        </is>
      </c>
      <c r="C63" s="9" t="inlineStr">
        <is>
          <t>Ferretería (Amenábar)</t>
        </is>
      </c>
      <c r="D63" s="9" t="inlineStr">
        <is>
          <t>Belgrano</t>
        </is>
      </c>
      <c r="E63" s="9" t="inlineStr">
        <is>
          <t>Amenábar 2273</t>
        </is>
      </c>
      <c r="F63" s="9" t="inlineStr">
        <is>
          <t>011 4787-6355</t>
        </is>
      </c>
      <c r="G63" s="9" t="inlineStr">
        <is>
          <t>confirmar</t>
        </is>
      </c>
      <c r="H63" s="9" t="inlineStr"/>
      <c r="I63" s="9" t="inlineStr"/>
      <c r="J63" s="9" t="inlineStr"/>
      <c r="K63" s="9" t="inlineStr"/>
      <c r="L63" s="9" t="inlineStr"/>
      <c r="M63" s="9" t="inlineStr">
        <is>
          <t>Sin contactar</t>
        </is>
      </c>
      <c r="N63" s="9" t="inlineStr">
        <is>
          <t>Media</t>
        </is>
      </c>
      <c r="O63" s="9" t="inlineStr">
        <is>
          <t>Directorio Belgrano.</t>
        </is>
      </c>
    </row>
    <row r="64">
      <c r="A64" s="8" t="n">
        <v>61</v>
      </c>
      <c r="B64" s="9" t="inlineStr">
        <is>
          <t>Anillo 3</t>
        </is>
      </c>
      <c r="C64" s="9" t="inlineStr">
        <is>
          <t>Ferretería (Blanco Encalada)</t>
        </is>
      </c>
      <c r="D64" s="9" t="inlineStr">
        <is>
          <t>Belgrano</t>
        </is>
      </c>
      <c r="E64" s="9" t="inlineStr">
        <is>
          <t>Blanco Encalada 2606</t>
        </is>
      </c>
      <c r="F64" s="9" t="inlineStr">
        <is>
          <t>011 4787-4432</t>
        </is>
      </c>
      <c r="G64" s="9" t="inlineStr">
        <is>
          <t>confirmar</t>
        </is>
      </c>
      <c r="H64" s="9" t="inlineStr"/>
      <c r="I64" s="9" t="inlineStr"/>
      <c r="J64" s="9" t="inlineStr"/>
      <c r="K64" s="9" t="inlineStr"/>
      <c r="L64" s="9" t="inlineStr"/>
      <c r="M64" s="9" t="inlineStr">
        <is>
          <t>Sin contactar</t>
        </is>
      </c>
      <c r="N64" s="9" t="inlineStr">
        <is>
          <t>Media</t>
        </is>
      </c>
      <c r="O64" s="9" t="inlineStr">
        <is>
          <t>Directorio Belgrano.</t>
        </is>
      </c>
    </row>
    <row r="65">
      <c r="A65" s="8" t="n">
        <v>62</v>
      </c>
      <c r="B65" s="9" t="inlineStr">
        <is>
          <t>Anillo 3</t>
        </is>
      </c>
      <c r="C65" s="9" t="inlineStr">
        <is>
          <t>Ferretería (Moldes)</t>
        </is>
      </c>
      <c r="D65" s="9" t="inlineStr">
        <is>
          <t>Belgrano</t>
        </is>
      </c>
      <c r="E65" s="9" t="inlineStr">
        <is>
          <t>Moldes 1802</t>
        </is>
      </c>
      <c r="F65" s="9" t="inlineStr">
        <is>
          <t>011 4787-4316</t>
        </is>
      </c>
      <c r="G65" s="9" t="inlineStr">
        <is>
          <t>confirmar</t>
        </is>
      </c>
      <c r="H65" s="9" t="inlineStr"/>
      <c r="I65" s="9" t="inlineStr"/>
      <c r="J65" s="9" t="inlineStr"/>
      <c r="K65" s="9" t="inlineStr"/>
      <c r="L65" s="9" t="inlineStr"/>
      <c r="M65" s="9" t="inlineStr">
        <is>
          <t>Sin contactar</t>
        </is>
      </c>
      <c r="N65" s="9" t="inlineStr">
        <is>
          <t>Media</t>
        </is>
      </c>
      <c r="O65" s="9" t="inlineStr">
        <is>
          <t>Directorio Belgrano.</t>
        </is>
      </c>
    </row>
    <row r="66">
      <c r="A66" s="8" t="n">
        <v>63</v>
      </c>
      <c r="B66" s="9" t="inlineStr">
        <is>
          <t>Anillo 3</t>
        </is>
      </c>
      <c r="C66" s="9" t="inlineStr">
        <is>
          <t>Ferretería y Cerraj. 24hs Trenque</t>
        </is>
      </c>
      <c r="D66" s="9" t="inlineStr">
        <is>
          <t>Villa Urquiza</t>
        </is>
      </c>
      <c r="E66" s="9" t="inlineStr">
        <is>
          <t>Echeverría 5099 (y Ávalos)</t>
        </is>
      </c>
      <c r="F66" s="9" t="inlineStr">
        <is>
          <t>011 4521-9377</t>
        </is>
      </c>
      <c r="G66" s="9" t="inlineStr">
        <is>
          <t>11 5002-4497</t>
        </is>
      </c>
      <c r="H66" s="9" t="inlineStr"/>
      <c r="I66" s="9" t="inlineStr"/>
      <c r="J66" s="9" t="inlineStr"/>
      <c r="K66" s="9" t="inlineStr">
        <is>
          <t>24 hs</t>
        </is>
      </c>
      <c r="L66" s="9" t="inlineStr"/>
      <c r="M66" s="9" t="inlineStr">
        <is>
          <t>Sin contactar</t>
        </is>
      </c>
      <c r="N66" s="9" t="inlineStr">
        <is>
          <t>Alta</t>
        </is>
      </c>
      <c r="O66" s="9" t="inlineStr">
        <is>
          <t>24hs. Móvil = WhatsApp probable.</t>
        </is>
      </c>
    </row>
    <row r="67">
      <c r="A67" s="8" t="n">
        <v>64</v>
      </c>
      <c r="B67" s="9" t="inlineStr">
        <is>
          <t>Anillo 3</t>
        </is>
      </c>
      <c r="C67" s="9" t="inlineStr">
        <is>
          <t>Ferretería (Lavoisier)</t>
        </is>
      </c>
      <c r="D67" s="9" t="inlineStr">
        <is>
          <t>Villa Urquiza</t>
        </is>
      </c>
      <c r="E67" s="9" t="inlineStr">
        <is>
          <t>Lavoisier 3273</t>
        </is>
      </c>
      <c r="F67" s="9" t="inlineStr">
        <is>
          <t>011 4573-2278</t>
        </is>
      </c>
      <c r="G67" s="9" t="inlineStr">
        <is>
          <t>confirmar</t>
        </is>
      </c>
      <c r="H67" s="9" t="inlineStr"/>
      <c r="I67" s="9" t="inlineStr"/>
      <c r="J67" s="9" t="inlineStr"/>
      <c r="K67" s="9" t="inlineStr"/>
      <c r="L67" s="9" t="inlineStr"/>
      <c r="M67" s="9" t="inlineStr">
        <is>
          <t>Sin contactar</t>
        </is>
      </c>
      <c r="N67" s="9" t="inlineStr">
        <is>
          <t>Media</t>
        </is>
      </c>
      <c r="O67" s="9" t="inlineStr">
        <is>
          <t>Directorio V. Urquiza.</t>
        </is>
      </c>
    </row>
    <row r="68">
      <c r="A68" s="8" t="n">
        <v>65</v>
      </c>
      <c r="B68" s="9" t="inlineStr">
        <is>
          <t>Anillo 3</t>
        </is>
      </c>
      <c r="C68" s="9" t="inlineStr">
        <is>
          <t>Ferretería (Burela)</t>
        </is>
      </c>
      <c r="D68" s="9" t="inlineStr">
        <is>
          <t>Villa Urquiza</t>
        </is>
      </c>
      <c r="E68" s="9" t="inlineStr">
        <is>
          <t>Burela 2725</t>
        </is>
      </c>
      <c r="F68" s="9" t="inlineStr">
        <is>
          <t>011 4521-4337</t>
        </is>
      </c>
      <c r="G68" s="9" t="inlineStr">
        <is>
          <t>confirmar</t>
        </is>
      </c>
      <c r="H68" s="9" t="inlineStr"/>
      <c r="I68" s="9" t="inlineStr"/>
      <c r="J68" s="9" t="inlineStr"/>
      <c r="K68" s="9" t="inlineStr"/>
      <c r="L68" s="9" t="inlineStr"/>
      <c r="M68" s="9" t="inlineStr">
        <is>
          <t>Sin contactar</t>
        </is>
      </c>
      <c r="N68" s="9" t="inlineStr">
        <is>
          <t>Media</t>
        </is>
      </c>
      <c r="O68" s="9" t="inlineStr">
        <is>
          <t>Directorio V. Urquiza.</t>
        </is>
      </c>
    </row>
    <row r="69">
      <c r="A69" s="8" t="n">
        <v>66</v>
      </c>
      <c r="B69" s="9" t="inlineStr">
        <is>
          <t>Anillo 3</t>
        </is>
      </c>
      <c r="C69" s="9" t="inlineStr">
        <is>
          <t>Ferretería (Bauness)</t>
        </is>
      </c>
      <c r="D69" s="9" t="inlineStr">
        <is>
          <t>Villa Urquiza</t>
        </is>
      </c>
      <c r="E69" s="9" t="inlineStr">
        <is>
          <t>Bauness 2201</t>
        </is>
      </c>
      <c r="F69" s="9" t="inlineStr">
        <is>
          <t>011 4521-9229</t>
        </is>
      </c>
      <c r="G69" s="9" t="inlineStr">
        <is>
          <t>confirmar</t>
        </is>
      </c>
      <c r="H69" s="9" t="inlineStr"/>
      <c r="I69" s="9" t="inlineStr"/>
      <c r="J69" s="9" t="inlineStr"/>
      <c r="K69" s="9" t="inlineStr"/>
      <c r="L69" s="9" t="inlineStr"/>
      <c r="M69" s="9" t="inlineStr">
        <is>
          <t>Sin contactar</t>
        </is>
      </c>
      <c r="N69" s="9" t="inlineStr">
        <is>
          <t>Media</t>
        </is>
      </c>
      <c r="O69" s="9" t="inlineStr">
        <is>
          <t>Directorio V. Urquiza.</t>
        </is>
      </c>
    </row>
    <row r="70">
      <c r="A70" s="8" t="n">
        <v>67</v>
      </c>
      <c r="B70" s="9" t="inlineStr">
        <is>
          <t>Anillo 3</t>
        </is>
      </c>
      <c r="C70" s="9" t="inlineStr">
        <is>
          <t>Ferretería (Monroe 3897)</t>
        </is>
      </c>
      <c r="D70" s="9" t="inlineStr">
        <is>
          <t>Villa Urquiza</t>
        </is>
      </c>
      <c r="E70" s="9" t="inlineStr">
        <is>
          <t>Av. Monroe 3897</t>
        </is>
      </c>
      <c r="F70" s="9" t="inlineStr">
        <is>
          <t>011 4545-4829</t>
        </is>
      </c>
      <c r="G70" s="9" t="inlineStr">
        <is>
          <t>confirmar</t>
        </is>
      </c>
      <c r="H70" s="9" t="inlineStr"/>
      <c r="I70" s="9" t="inlineStr"/>
      <c r="J70" s="9" t="inlineStr"/>
      <c r="K70" s="9" t="inlineStr"/>
      <c r="L70" s="9" t="inlineStr"/>
      <c r="M70" s="9" t="inlineStr">
        <is>
          <t>Sin contactar</t>
        </is>
      </c>
      <c r="N70" s="9" t="inlineStr">
        <is>
          <t>Media</t>
        </is>
      </c>
      <c r="O70" s="9" t="inlineStr">
        <is>
          <t>Directorio V. Urquiza.</t>
        </is>
      </c>
    </row>
    <row r="71">
      <c r="A71" s="8" t="n">
        <v>68</v>
      </c>
      <c r="B71" s="9" t="inlineStr">
        <is>
          <t>Anillo 3</t>
        </is>
      </c>
      <c r="C71" s="9" t="inlineStr">
        <is>
          <t>Ferretería (Palermo)</t>
        </is>
      </c>
      <c r="D71" s="9" t="inlineStr">
        <is>
          <t>Palermo</t>
        </is>
      </c>
      <c r="E71" s="9" t="inlineStr">
        <is>
          <t>Jorge Luis Borges 2475 Local 37</t>
        </is>
      </c>
      <c r="F71" s="9" t="inlineStr"/>
      <c r="G71" s="9" t="inlineStr">
        <is>
          <t>confirmar</t>
        </is>
      </c>
      <c r="H71" s="9" t="inlineStr"/>
      <c r="I71" s="9" t="inlineStr"/>
      <c r="J71" s="9" t="inlineStr"/>
      <c r="K71" s="9" t="inlineStr"/>
      <c r="L71" s="9" t="inlineStr"/>
      <c r="M71" s="9" t="inlineStr">
        <is>
          <t>Sin contactar</t>
        </is>
      </c>
      <c r="N71" s="9" t="inlineStr">
        <is>
          <t>Media</t>
        </is>
      </c>
      <c r="O71" s="9" t="inlineStr">
        <is>
          <t>Directorio Palermo.</t>
        </is>
      </c>
    </row>
    <row r="72">
      <c r="A72" s="8" t="n">
        <v>69</v>
      </c>
      <c r="B72" s="9" t="inlineStr">
        <is>
          <t>Anillo 3</t>
        </is>
      </c>
      <c r="C72" s="9" t="inlineStr">
        <is>
          <t>Ferretería (Crisólogo Larralde)</t>
        </is>
      </c>
      <c r="D72" s="9" t="inlineStr">
        <is>
          <t>Núñez</t>
        </is>
      </c>
      <c r="E72" s="9" t="inlineStr">
        <is>
          <t>Crisólogo Larralde 1982</t>
        </is>
      </c>
      <c r="F72" s="9" t="inlineStr"/>
      <c r="G72" s="9" t="inlineStr">
        <is>
          <t>confirmar</t>
        </is>
      </c>
      <c r="H72" s="9" t="inlineStr"/>
      <c r="I72" s="9" t="inlineStr"/>
      <c r="J72" s="9" t="inlineStr"/>
      <c r="K72" s="9" t="inlineStr"/>
      <c r="L72" s="9" t="inlineStr"/>
      <c r="M72" s="9" t="inlineStr">
        <is>
          <t>Sin contactar</t>
        </is>
      </c>
      <c r="N72" s="9" t="inlineStr">
        <is>
          <t>Media</t>
        </is>
      </c>
      <c r="O72" s="9" t="inlineStr">
        <is>
          <t>Directorio Núñez.</t>
        </is>
      </c>
    </row>
    <row r="73">
      <c r="A73" s="8" t="n">
        <v>70</v>
      </c>
      <c r="B73" s="9" t="inlineStr">
        <is>
          <t>Anillo 3</t>
        </is>
      </c>
      <c r="C73" s="9" t="inlineStr">
        <is>
          <t>Ferretería (Pacheco)</t>
        </is>
      </c>
      <c r="D73" s="9" t="inlineStr">
        <is>
          <t>Saavedra</t>
        </is>
      </c>
      <c r="E73" s="9" t="inlineStr">
        <is>
          <t>Pacheco 3545</t>
        </is>
      </c>
      <c r="F73" s="9" t="inlineStr"/>
      <c r="G73" s="9" t="inlineStr">
        <is>
          <t>confirmar</t>
        </is>
      </c>
      <c r="H73" s="9" t="inlineStr"/>
      <c r="I73" s="9" t="inlineStr"/>
      <c r="J73" s="9" t="inlineStr"/>
      <c r="K73" s="9" t="inlineStr"/>
      <c r="L73" s="9" t="inlineStr"/>
      <c r="M73" s="9" t="inlineStr">
        <is>
          <t>Sin contactar</t>
        </is>
      </c>
      <c r="N73" s="9" t="inlineStr">
        <is>
          <t>Media</t>
        </is>
      </c>
      <c r="O73" s="9" t="inlineStr">
        <is>
          <t>Directorio Saavedra.</t>
        </is>
      </c>
    </row>
    <row r="74">
      <c r="A74" s="8" t="n">
        <v>71</v>
      </c>
      <c r="B74" s="9" t="inlineStr">
        <is>
          <t>Anillo 3</t>
        </is>
      </c>
      <c r="C74" s="9" t="inlineStr">
        <is>
          <t>Ferretería (Ruiz Huidobro)</t>
        </is>
      </c>
      <c r="D74" s="9" t="inlineStr">
        <is>
          <t>Saavedra</t>
        </is>
      </c>
      <c r="E74" s="9" t="inlineStr">
        <is>
          <t>Ruiz Huidobro 2663</t>
        </is>
      </c>
      <c r="F74" s="9" t="inlineStr"/>
      <c r="G74" s="9" t="inlineStr">
        <is>
          <t>confirmar</t>
        </is>
      </c>
      <c r="H74" s="9" t="inlineStr"/>
      <c r="I74" s="9" t="inlineStr"/>
      <c r="J74" s="9" t="inlineStr"/>
      <c r="K74" s="9" t="inlineStr"/>
      <c r="L74" s="9" t="inlineStr"/>
      <c r="M74" s="9" t="inlineStr">
        <is>
          <t>Sin contactar</t>
        </is>
      </c>
      <c r="N74" s="9" t="inlineStr">
        <is>
          <t>Media</t>
        </is>
      </c>
      <c r="O74" s="9" t="inlineStr">
        <is>
          <t>Directorio Saavedra.</t>
        </is>
      </c>
    </row>
    <row r="75">
      <c r="A75" s="8" t="n">
        <v>72</v>
      </c>
      <c r="B75" s="9" t="inlineStr">
        <is>
          <t>Anillo 3</t>
        </is>
      </c>
      <c r="C75" s="9" t="inlineStr">
        <is>
          <t>Ferretería San Telmo S.R.L.</t>
        </is>
      </c>
      <c r="D75" s="9" t="inlineStr">
        <is>
          <t>San Telmo</t>
        </is>
      </c>
      <c r="E75" s="9" t="inlineStr">
        <is>
          <t>(consultar IG/FB)</t>
        </is>
      </c>
      <c r="F75" s="9" t="inlineStr"/>
      <c r="G75" s="9" t="inlineStr">
        <is>
          <t>confirmar</t>
        </is>
      </c>
      <c r="H75" s="9" t="inlineStr"/>
      <c r="I75" s="9" t="inlineStr">
        <is>
          <t>facebook.com/p/FERRETERIA-SAN-TELMO-SRL</t>
        </is>
      </c>
      <c r="J75" s="9" t="inlineStr">
        <is>
          <t>instagram.com/ferreteriasantelmo</t>
        </is>
      </c>
      <c r="K75" s="9" t="inlineStr"/>
      <c r="L75" s="9" t="inlineStr"/>
      <c r="M75" s="9" t="inlineStr">
        <is>
          <t>Sin contactar</t>
        </is>
      </c>
      <c r="N75" s="9" t="inlineStr">
        <is>
          <t>Alta</t>
        </is>
      </c>
      <c r="O75" s="9" t="inlineStr">
        <is>
          <t>IG + FB activos.</t>
        </is>
      </c>
    </row>
    <row r="76">
      <c r="A76" s="8" t="n">
        <v>73</v>
      </c>
      <c r="B76" s="9" t="inlineStr">
        <is>
          <t>Anillo 3</t>
        </is>
      </c>
      <c r="C76" s="9" t="inlineStr">
        <is>
          <t>Ferretería (Defensa)</t>
        </is>
      </c>
      <c r="D76" s="9" t="inlineStr">
        <is>
          <t>San Telmo</t>
        </is>
      </c>
      <c r="E76" s="9" t="inlineStr">
        <is>
          <t>Defensa 732</t>
        </is>
      </c>
      <c r="F76" s="9" t="inlineStr">
        <is>
          <t>011 4362-3299</t>
        </is>
      </c>
      <c r="G76" s="9" t="inlineStr">
        <is>
          <t>confirmar</t>
        </is>
      </c>
      <c r="H76" s="9" t="inlineStr"/>
      <c r="I76" s="9" t="inlineStr"/>
      <c r="J76" s="9" t="inlineStr"/>
      <c r="K76" s="9" t="inlineStr"/>
      <c r="L76" s="9" t="inlineStr"/>
      <c r="M76" s="9" t="inlineStr">
        <is>
          <t>Sin contactar</t>
        </is>
      </c>
      <c r="N76" s="9" t="inlineStr">
        <is>
          <t>Media</t>
        </is>
      </c>
      <c r="O76" s="9" t="inlineStr">
        <is>
          <t>Directorio San Telmo.</t>
        </is>
      </c>
    </row>
    <row r="77">
      <c r="A77" s="8" t="n">
        <v>74</v>
      </c>
      <c r="B77" s="9" t="inlineStr">
        <is>
          <t>Anillo 3</t>
        </is>
      </c>
      <c r="C77" s="9" t="inlineStr">
        <is>
          <t>Ferretería (Av. Brasil)</t>
        </is>
      </c>
      <c r="D77" s="9" t="inlineStr">
        <is>
          <t>Constitución</t>
        </is>
      </c>
      <c r="E77" s="9" t="inlineStr">
        <is>
          <t>Av. Brasil 601</t>
        </is>
      </c>
      <c r="F77" s="9" t="inlineStr">
        <is>
          <t>011 4300-7763</t>
        </is>
      </c>
      <c r="G77" s="9" t="inlineStr">
        <is>
          <t>confirmar</t>
        </is>
      </c>
      <c r="H77" s="9" t="inlineStr"/>
      <c r="I77" s="9" t="inlineStr"/>
      <c r="J77" s="9" t="inlineStr"/>
      <c r="K77" s="9" t="inlineStr"/>
      <c r="L77" s="9" t="inlineStr"/>
      <c r="M77" s="9" t="inlineStr">
        <is>
          <t>Sin contactar</t>
        </is>
      </c>
      <c r="N77" s="9" t="inlineStr">
        <is>
          <t>Media</t>
        </is>
      </c>
      <c r="O77" s="9" t="inlineStr">
        <is>
          <t>Zona sur.</t>
        </is>
      </c>
    </row>
    <row r="78">
      <c r="A78" s="8" t="n">
        <v>75</v>
      </c>
      <c r="B78" s="9" t="inlineStr">
        <is>
          <t>Anillo 3</t>
        </is>
      </c>
      <c r="C78" s="9" t="inlineStr">
        <is>
          <t>Ferretería (Chacabuco)</t>
        </is>
      </c>
      <c r="D78" s="9" t="inlineStr">
        <is>
          <t>San Telmo</t>
        </is>
      </c>
      <c r="E78" s="9" t="inlineStr">
        <is>
          <t>Chacabuco 798</t>
        </is>
      </c>
      <c r="F78" s="9" t="inlineStr">
        <is>
          <t>011 4300-6970</t>
        </is>
      </c>
      <c r="G78" s="9" t="inlineStr">
        <is>
          <t>confirmar</t>
        </is>
      </c>
      <c r="H78" s="9" t="inlineStr"/>
      <c r="I78" s="9" t="inlineStr"/>
      <c r="J78" s="9" t="inlineStr"/>
      <c r="K78" s="9" t="inlineStr"/>
      <c r="L78" s="9" t="inlineStr"/>
      <c r="M78" s="9" t="inlineStr">
        <is>
          <t>Sin contactar</t>
        </is>
      </c>
      <c r="N78" s="9" t="inlineStr">
        <is>
          <t>Media</t>
        </is>
      </c>
      <c r="O78" s="9" t="inlineStr">
        <is>
          <t>Directorio San Telmo.</t>
        </is>
      </c>
    </row>
    <row r="79">
      <c r="A79" s="8" t="n">
        <v>76</v>
      </c>
      <c r="B79" s="9" t="inlineStr">
        <is>
          <t>Anillo 3</t>
        </is>
      </c>
      <c r="C79" s="9" t="inlineStr">
        <is>
          <t>Ferretería (San Antonio)</t>
        </is>
      </c>
      <c r="D79" s="9" t="inlineStr">
        <is>
          <t>Barracas</t>
        </is>
      </c>
      <c r="E79" s="9" t="inlineStr">
        <is>
          <t>San Antonio 440</t>
        </is>
      </c>
      <c r="F79" s="9" t="inlineStr">
        <is>
          <t>011 4302-6979</t>
        </is>
      </c>
      <c r="G79" s="9" t="inlineStr">
        <is>
          <t>confirmar</t>
        </is>
      </c>
      <c r="H79" s="9" t="inlineStr"/>
      <c r="I79" s="9" t="inlineStr"/>
      <c r="J79" s="9" t="inlineStr"/>
      <c r="K79" s="9" t="inlineStr"/>
      <c r="L79" s="9" t="inlineStr"/>
      <c r="M79" s="9" t="inlineStr">
        <is>
          <t>Sin contactar</t>
        </is>
      </c>
      <c r="N79" s="9" t="inlineStr">
        <is>
          <t>Media</t>
        </is>
      </c>
      <c r="O79" s="9" t="inlineStr">
        <is>
          <t>Directorio Barracas.</t>
        </is>
      </c>
    </row>
    <row r="80">
      <c r="A80" s="8" t="n">
        <v>77</v>
      </c>
      <c r="B80" s="9" t="inlineStr">
        <is>
          <t>Anillo 3</t>
        </is>
      </c>
      <c r="C80" s="9" t="inlineStr">
        <is>
          <t>Ferretería (Salom)</t>
        </is>
      </c>
      <c r="D80" s="9" t="inlineStr">
        <is>
          <t>Barracas</t>
        </is>
      </c>
      <c r="E80" s="9" t="inlineStr">
        <is>
          <t>Salom 326</t>
        </is>
      </c>
      <c r="F80" s="9" t="inlineStr">
        <is>
          <t>011 4302-5832</t>
        </is>
      </c>
      <c r="G80" s="9" t="inlineStr">
        <is>
          <t>confirmar</t>
        </is>
      </c>
      <c r="H80" s="9" t="inlineStr"/>
      <c r="I80" s="9" t="inlineStr"/>
      <c r="J80" s="9" t="inlineStr"/>
      <c r="K80" s="9" t="inlineStr"/>
      <c r="L80" s="9" t="inlineStr"/>
      <c r="M80" s="9" t="inlineStr">
        <is>
          <t>Sin contactar</t>
        </is>
      </c>
      <c r="N80" s="9" t="inlineStr">
        <is>
          <t>Media</t>
        </is>
      </c>
      <c r="O80" s="9" t="inlineStr">
        <is>
          <t>Directorio Barracas.</t>
        </is>
      </c>
    </row>
    <row r="81">
      <c r="A81" s="8" t="n">
        <v>78</v>
      </c>
      <c r="B81" s="9" t="inlineStr">
        <is>
          <t>Anillo 3</t>
        </is>
      </c>
      <c r="C81" s="9" t="inlineStr">
        <is>
          <t>Ferretería (Rocha)</t>
        </is>
      </c>
      <c r="D81" s="9" t="inlineStr">
        <is>
          <t>Barracas</t>
        </is>
      </c>
      <c r="E81" s="9" t="inlineStr">
        <is>
          <t>Rocha 1600</t>
        </is>
      </c>
      <c r="F81" s="9" t="inlineStr">
        <is>
          <t>011 4302-5122</t>
        </is>
      </c>
      <c r="G81" s="9" t="inlineStr">
        <is>
          <t>confirmar</t>
        </is>
      </c>
      <c r="H81" s="9" t="inlineStr"/>
      <c r="I81" s="9" t="inlineStr"/>
      <c r="J81" s="9" t="inlineStr"/>
      <c r="K81" s="9" t="inlineStr"/>
      <c r="L81" s="9" t="inlineStr"/>
      <c r="M81" s="9" t="inlineStr">
        <is>
          <t>Sin contactar</t>
        </is>
      </c>
      <c r="N81" s="9" t="inlineStr">
        <is>
          <t>Media</t>
        </is>
      </c>
      <c r="O81" s="9" t="inlineStr">
        <is>
          <t>Directorio Barracas.</t>
        </is>
      </c>
    </row>
  </sheetData>
  <autoFilter ref="A3:O81"/>
  <mergeCells count="2">
    <mergeCell ref="A1:O1"/>
    <mergeCell ref="A2:O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3" customWidth="1" min="1" max="1"/>
    <col width="112" customWidth="1" min="2" max="2"/>
  </cols>
  <sheetData>
    <row r="1" ht="24" customHeight="1">
      <c r="B1" s="10" t="inlineStr">
        <is>
          <t xml:space="preserve">  Cómo completar datos que faltan y llegar a TODA CABA</t>
        </is>
      </c>
    </row>
    <row r="2">
      <c r="B2" s="11" t="inlineStr"/>
    </row>
    <row r="3">
      <c r="B3" s="12" t="inlineStr">
        <is>
          <t xml:space="preserve">  Realidad del número</t>
        </is>
      </c>
    </row>
    <row r="4">
      <c r="B4" s="11" t="inlineStr">
        <is>
          <t>No hay padrón público de ferreterías de CABA. Estimación realista: entre ~800 y ~1.500 ferreterías en toda la Ciudad (no 10.000: ese número sería para toda la Argentina). Igual son MUCHÍSIMAS más de las que podés cargar a mano → por eso está el script.</t>
        </is>
      </c>
    </row>
    <row r="5">
      <c r="B5" s="11" t="inlineStr"/>
    </row>
    <row r="6">
      <c r="B6" s="12" t="inlineStr">
        <is>
          <t xml:space="preserve">  A) Bajar TODAS automáticamente (Google Maps) — recomendado</t>
        </is>
      </c>
    </row>
    <row r="7">
      <c r="B7" s="13" t="inlineStr">
        <is>
          <t xml:space="preserve">   scripts/scrape_ferreterias_gmaps.py  (ver instrucciones dentro del archivo)</t>
        </is>
      </c>
    </row>
    <row r="8">
      <c r="B8" s="11" t="inlineStr">
        <is>
          <t xml:space="preserve">   • Centra la búsqueda en el depósito (Bacacay 4726) y trae cada ferretería con nombre, dirección, teléfono, web,</t>
        </is>
      </c>
    </row>
    <row r="9">
      <c r="B9" s="11" t="inlineStr">
        <is>
          <t xml:space="preserve">     horario y rating, ordenadas por distancia. Exporta un Excel igual a este.</t>
        </is>
      </c>
    </row>
    <row r="10">
      <c r="B10" s="11" t="inlineStr">
        <is>
          <t xml:space="preserve">   • Necesita una API key de Google Maps (Places API) — gratis hasta un límite mensual alto. Pasos en el script.</t>
        </is>
      </c>
    </row>
    <row r="11">
      <c r="B11" s="11" t="inlineStr"/>
    </row>
    <row r="12">
      <c r="B12" s="12" t="inlineStr">
        <is>
          <t xml:space="preserve">  B) Completar Encargado / Email / WhatsApp / Horario de cada ficha</t>
        </is>
      </c>
    </row>
    <row r="13">
      <c r="B13" s="11" t="inlineStr">
        <is>
          <t xml:space="preserve">   1) Google Maps: la ficha da teléfono, web, horarios reales y link a IG/WhatsApp.</t>
        </is>
      </c>
    </row>
    <row r="14">
      <c r="B14" s="11" t="inlineStr">
        <is>
          <t xml:space="preserve">   2) WhatsApp Business: abrí wa.me/54911XXXXXXXX; si tiene perfil de empresa, es WhatsApp válido → pintá la celda de verde.</t>
        </is>
      </c>
    </row>
    <row r="15">
      <c r="B15" s="11" t="inlineStr">
        <is>
          <t xml:space="preserve">   3) El nombre del encargado se PREGUNTA en el primer contacto ('¿quién hace las compras?'). No se inventa.</t>
        </is>
      </c>
    </row>
    <row r="16">
      <c r="B16" s="11" t="inlineStr"/>
    </row>
    <row r="17">
      <c r="B17" s="12" t="inlineStr">
        <is>
          <t xml:space="preserve">  C) Encontrar ferreterías NUEVAS cada semana</t>
        </is>
      </c>
    </row>
    <row r="18">
      <c r="B18" s="11" t="inlineStr">
        <is>
          <t xml:space="preserve">   • Google Maps: 'ferretería + barrio', mové el mapa y sumá las que falten.</t>
        </is>
      </c>
    </row>
    <row r="19">
      <c r="B19" s="11" t="inlineStr">
        <is>
          <t xml:space="preserve">   • Directorios: guiaferreterias.com.ar, paginasamarillas.com.ar, argentino.com.ar, buscabaires.com, licuo.com.ar (por barrio).</t>
        </is>
      </c>
    </row>
    <row r="20">
      <c r="B20" s="11" t="inlineStr">
        <is>
          <t xml:space="preserve">   • Instagram/Facebook: 'ferretería + barrio' (muchas PyMEs solo están en redes).</t>
        </is>
      </c>
    </row>
    <row r="21">
      <c r="B21" s="11" t="inlineStr">
        <is>
          <t xml:space="preserve">   • Mercado Libre / El Ferretero (elferretero.com.ar): vendedores del rubro = posibles clientes mayoristas.</t>
        </is>
      </c>
    </row>
    <row r="22">
      <c r="B22" s="11" t="inlineStr"/>
    </row>
    <row r="23">
      <c r="B23" s="12" t="inlineStr">
        <is>
          <t xml:space="preserve">  D) Estado de prospección</t>
        </is>
      </c>
    </row>
    <row r="24">
      <c r="B24" s="11" t="inlineStr">
        <is>
          <t xml:space="preserve">   Sin contactar → Contactado → Interesado → Cotización enviada → Cliente / Descartado. Filtrá 'Prioridad = Alta' primero.</t>
        </is>
      </c>
    </row>
    <row r="25">
      <c r="B25" s="11" t="inlineStr"/>
    </row>
    <row r="26">
      <c r="B26" s="13" t="inlineStr">
        <is>
          <t xml:space="preserve">  Regla de oro: no inventar datos. Un mail/WhatsApp equivocado quema el prospecto y la reputación de la marca.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4" customWidth="1" min="1" max="1"/>
    <col width="44" customWidth="1" min="2" max="2"/>
    <col width="44" customWidth="1" min="3" max="3"/>
    <col width="44" customWidth="1" min="4" max="4"/>
  </cols>
  <sheetData>
    <row r="1" ht="24" customHeight="1">
      <c r="A1" s="10" t="inlineStr">
        <is>
          <t>UNIPROVEEDORES · Plan Semanal — Redes + Prospección (empezar por el anillo cercano al depósito)</t>
        </is>
      </c>
    </row>
    <row r="2">
      <c r="A2" s="3" t="inlineStr">
        <is>
          <t>Día</t>
        </is>
      </c>
      <c r="B2" s="3" t="inlineStr">
        <is>
          <t>Prospección ferreterías</t>
        </is>
      </c>
      <c r="C2" s="3" t="inlineStr">
        <is>
          <t>Contenido / Redes</t>
        </is>
      </c>
      <c r="D2" s="3" t="inlineStr">
        <is>
          <t>Acción de crecimiento (seguidores)</t>
        </is>
      </c>
    </row>
    <row r="3" ht="58" customHeight="1">
      <c r="A3" s="14" t="inlineStr">
        <is>
          <t>Lunes</t>
        </is>
      </c>
      <c r="B3" s="15" t="inlineStr">
        <is>
          <t>Elegí 1 barrio del Anillo 1/2 (empezá pegado al depósito). Cargá 10 ferreterías nuevas (o corré el script de Google Maps).</t>
        </is>
      </c>
      <c r="C3" s="15" t="inlineStr">
        <is>
          <t>IG+FB: producto estrella con precio (cápsula verde). X: oferta corta. Canal WhatsApp: 'ofertas de la semana'.</t>
        </is>
      </c>
      <c r="D3" s="15" t="inlineStr">
        <is>
          <t>Seguí 20 ferreterías del rubro en IG. Comentá en 5 posteos. Invitá contactos a seguir la Página FB.</t>
        </is>
      </c>
    </row>
    <row r="4" ht="58" customHeight="1">
      <c r="A4" s="14" t="inlineStr">
        <is>
          <t>Martes</t>
        </is>
      </c>
      <c r="B4" s="15" t="inlineStr">
        <is>
          <t>Escribí por WhatsApp a 10 'Sin contactar' del Anillo 1. Completá Encargado y validá WhatsApp.</t>
        </is>
      </c>
      <c r="C4" s="15" t="inlineStr">
        <is>
          <t>YouTube: 1 Short (herramienta en acción, 20-40s). Mismo clip → Reel IG.</t>
        </is>
      </c>
      <c r="D4" s="15" t="inlineStr">
        <is>
          <t>YouTube: respondé todos los comentarios y pedí suscripción. IG: 3 stories con encuesta.</t>
        </is>
      </c>
    </row>
    <row r="5" ht="58" customHeight="1">
      <c r="A5" s="14" t="inlineStr">
        <is>
          <t>Miércoles</t>
        </is>
      </c>
      <c r="B5" s="15" t="inlineStr">
        <is>
          <t>Cargá 10 ferreterías nuevas (Anillo 2). Pasá a 'Interesado' las que respondieron.</t>
        </is>
      </c>
      <c r="C5" s="15" t="inlineStr">
        <is>
          <t>LinkedIn: post B2B ('mayorista para ferreterías, envío y garantía'). IG: carrusel de catálogo.</t>
        </is>
      </c>
      <c r="D5" s="15" t="inlineStr">
        <is>
          <t>LinkedIn: conectá con 20 dueños/encargados de ferreterías. IG: collab con 1 proveedor.</t>
        </is>
      </c>
    </row>
    <row r="6" ht="58" customHeight="1">
      <c r="A6" s="14" t="inlineStr">
        <is>
          <t>Jueves</t>
        </is>
      </c>
      <c r="B6" s="15" t="inlineStr">
        <is>
          <t>Enviá lista de precios/cotización a los 'Interesados'. Registrá en Notas.</t>
        </is>
      </c>
      <c r="C6" s="15" t="inlineStr">
        <is>
          <t>IG+FB: testimonio o 'antes/después'. Canal WhatsApp: novedad de stock. X: hilo con 3 tips.</t>
        </is>
      </c>
      <c r="D6" s="15" t="inlineStr">
        <is>
          <t>Concurso: 'seguinos + etiquetá a 2 ferreteros' por un descuento. Reglas en story fija.</t>
        </is>
      </c>
    </row>
    <row r="7" ht="58" customHeight="1">
      <c r="A7" s="14" t="inlineStr">
        <is>
          <t>Viernes</t>
        </is>
      </c>
      <c r="B7" s="15" t="inlineStr">
        <is>
          <t>Seguimiento a todos los contactados de la semana. Cerrá lo posible a 'Cliente'.</t>
        </is>
      </c>
      <c r="C7" s="15" t="inlineStr">
        <is>
          <t>YouTube: video/Short de oferta de fin de semana. Reutilizá para IG/FB/TikTok/X.</t>
        </is>
      </c>
      <c r="D7" s="15" t="inlineStr">
        <is>
          <t>Compartí el video en TODAS las redes + Canal WhatsApp. Fijá el mejor post.</t>
        </is>
      </c>
    </row>
    <row r="8" ht="58" customHeight="1">
      <c r="A8" s="14" t="inlineStr">
        <is>
          <t>Sáb/Dom</t>
        </is>
      </c>
      <c r="B8" s="15" t="inlineStr">
        <is>
          <t>Actualizá KPIs (leads nuevos, contactados, clientes). Planificá el barrio del lunes.</t>
        </is>
      </c>
      <c r="C8" s="15" t="inlineStr">
        <is>
          <t>Programá 2-3 posteos livianos. Respondé mensajes pendientes.</t>
        </is>
      </c>
      <c r="D8" s="15" t="inlineStr">
        <is>
          <t>Mirá qué post creció más → repetí ese formato la semana próxima.</t>
        </is>
      </c>
    </row>
    <row r="10" ht="30" customHeight="1">
      <c r="A10" s="16" t="inlineStr">
        <is>
          <t>META SEMANAL: +30 ferreterías nuevas · 30 contactadas · 5 clientes nuevos  |  Redes: +50 seguidores por red · 5 publicaciones · 1 video YouTube</t>
        </is>
      </c>
    </row>
  </sheetData>
  <mergeCells count="2">
    <mergeCell ref="A1:D1"/>
    <mergeCell ref="A10:D1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6" customWidth="1" min="1" max="1"/>
    <col width="60" customWidth="1" min="2" max="2"/>
    <col width="48" customWidth="1" min="3" max="3"/>
  </cols>
  <sheetData>
    <row r="1" ht="24" customHeight="1">
      <c r="A1" s="10" t="inlineStr">
        <is>
          <t>Cómo crecer en cada red — Uniproveedores</t>
        </is>
      </c>
    </row>
    <row r="2">
      <c r="A2" s="3" t="inlineStr">
        <is>
          <t>Red</t>
        </is>
      </c>
      <c r="B2" s="3" t="inlineStr">
        <is>
          <t>Táctica principal para sumar seguidores</t>
        </is>
      </c>
      <c r="C2" s="3" t="inlineStr">
        <is>
          <t>Frecuencia + tip clave</t>
        </is>
      </c>
    </row>
    <row r="3" ht="72" customHeight="1">
      <c r="A3" s="14" t="inlineStr">
        <is>
          <t>Instagram</t>
        </is>
      </c>
      <c r="B3" s="15" t="inlineStr">
        <is>
          <t>Reels cortos (herramienta en acción, precio en pantalla). 3-5 hashtags locales (#ferreteria #herramientas #caba). Respondé DMs con link de WhatsApp. Collabs con proveedores.</t>
        </is>
      </c>
      <c r="C3" s="15" t="inlineStr">
        <is>
          <t>1 Reel/día + 3 stories. El gancho en los primeros 2s es lo que trae seguidores nuevos.</t>
        </is>
      </c>
    </row>
    <row r="4" ht="72" customHeight="1">
      <c r="A4" s="14" t="inlineStr">
        <is>
          <t>Facebook</t>
        </is>
      </c>
      <c r="B4" s="15" t="inlineStr">
        <is>
          <t>Página (no perfil), botón 'Enviar WhatsApp'. Sumate a grupos de compra/venta y de ferreteros. Invitá contactos a seguir la Página.</t>
        </is>
      </c>
      <c r="C4" s="15" t="inlineStr">
        <is>
          <t>4-5 posts/semana. Los grupos del rubro son el alcance B2B gratis más rápido.</t>
        </is>
      </c>
    </row>
    <row r="5" ht="72" customHeight="1">
      <c r="A5" s="14" t="inlineStr">
        <is>
          <t>Canal WhatsApp</t>
        </is>
      </c>
      <c r="B5" s="15" t="inlineStr">
        <is>
          <t>Creá el Canal desde WhatsApp Business. Link en bio IG/FB, firma de mail y en cada venta. Publicá 'ofertas de la semana' y stock nuevo.</t>
        </is>
      </c>
      <c r="C5" s="15" t="inlineStr">
        <is>
          <t>2-3 difusiones/semana. Cada cliente que atendés → invitalo. Crece por invitación directa.</t>
        </is>
      </c>
    </row>
    <row r="6" ht="72" customHeight="1">
      <c r="A6" s="14" t="inlineStr">
        <is>
          <t>YouTube</t>
        </is>
      </c>
      <c r="B6" s="15" t="inlineStr">
        <is>
          <t>Shorts (20-40s) reutilizando Reels + 1 video largo/semana (reviews, 'cómo usar'). Título con keyword + miniatura verde. Pedí suscripción al final.</t>
        </is>
      </c>
      <c r="C6" s="15" t="inlineStr">
        <is>
          <t>2-3 Shorts + 1 largo/semana. Shorts = alcance; largos = autoridad y ventas.</t>
        </is>
      </c>
    </row>
    <row r="7" ht="72" customHeight="1">
      <c r="A7" s="14" t="inlineStr">
        <is>
          <t>X (Twitter)</t>
        </is>
      </c>
      <c r="B7" s="15" t="inlineStr">
        <is>
          <t>Ofertas cortas con imagen, hilos de tips, responder a cuentas del rubro. #Argentina #herramientas.</t>
        </is>
      </c>
      <c r="C7" s="15" t="inlineStr">
        <is>
          <t>1-2 posts/día. En X crecés interactuando más que publicando solo.</t>
        </is>
      </c>
    </row>
    <row r="8" ht="72" customHeight="1">
      <c r="A8" s="14" t="inlineStr">
        <is>
          <t>LinkedIn</t>
        </is>
      </c>
      <c r="B8" s="15" t="inlineStr">
        <is>
          <t>Página de empresa en tono B2B ('mayorista para ferreterías, envío y garantía'). Conectá con dueños/encargados. Publicá casos y catálogo.</t>
        </is>
      </c>
      <c r="C8" s="15" t="inlineStr">
        <is>
          <t>2-3 posts/semana. Es la red para VENDERLE a ferreterías, no tanto para volumen.</t>
        </is>
      </c>
    </row>
    <row r="10" ht="52" customHeight="1">
      <c r="A10" s="17" t="inlineStr">
        <is>
          <t>REGLAS PARA TODAS: (1) Mismo @uniproveedoresok y logo. (2) Grabás 1 video → Reel/Short/TikTok/X. (3) Siempre link a WhatsApp wa.me/541135510715. (4) Horario pico 12-14h y 19-21h. (5) Respondé todo comentario/DM el mismo día.</t>
        </is>
      </c>
    </row>
  </sheetData>
  <mergeCells count="2">
    <mergeCell ref="A1:C1"/>
    <mergeCell ref="A10:C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19"/>
  <sheetViews>
    <sheetView workbookViewId="0">
      <selection activeCell="A1" sqref="A1"/>
    </sheetView>
  </sheetViews>
  <sheetFormatPr baseColWidth="8" defaultRowHeight="15"/>
  <cols>
    <col width="3" customWidth="1" min="1" max="1"/>
    <col width="112" customWidth="1" min="2" max="2"/>
  </cols>
  <sheetData>
    <row r="1" ht="24" customHeight="1">
      <c r="B1" s="10" t="inlineStr">
        <is>
          <t xml:space="preserve">  Plantillas de contacto — Anillo 1 (Comuna 10)</t>
        </is>
      </c>
    </row>
    <row r="2">
      <c r="B2" s="11" t="inlineStr">
        <is>
          <t>Personalizá lo que está entre [corchetes]. Regla: mensaje corto, valor claro, una sola pregunta y CTA. No mandar catálogo entero en el primer mensaje.</t>
        </is>
      </c>
    </row>
    <row r="3">
      <c r="B3" s="11" t="inlineStr"/>
    </row>
    <row r="4">
      <c r="B4" s="12" t="inlineStr">
        <is>
          <t xml:space="preserve">  1) WhatsApp — primer mensaje (frío)</t>
        </is>
      </c>
    </row>
    <row r="5" ht="92" customHeight="1">
      <c r="B5" s="18" t="inlineStr">
        <is>
          <t>Hola, ¿cómo va? Te escribo de UNIPROVEEDORES 🛠️, distribuidora mayorista de herramientas y artículos de ferretería. Estamos trabajando con ferreterías de [barrio/zona] con precio mayorista, envío y garantía. ¿Con quién puedo hablar por las compras? Te acerco la lista y las ofertas de la semana, sin compromiso. ¡Gracias!</t>
        </is>
      </c>
    </row>
    <row r="6">
      <c r="B6" s="12" t="inlineStr">
        <is>
          <t xml:space="preserve">  2) WhatsApp — seguimiento (48-72 hs después, si no respondió)</t>
        </is>
      </c>
    </row>
    <row r="7" ht="92" customHeight="1">
      <c r="B7" s="18" t="inlineStr">
        <is>
          <t>Hola [nombre]! Te escribí hace unos días de Uniproveedores (mayorista de ferretería). ¿Pudiste ver? Si querés te paso la lista de precios actualizada de esta semana. Si hay algún producto puntual que más vendés, decime cuál y te coto al toque 👍</t>
        </is>
      </c>
    </row>
    <row r="8">
      <c r="B8" s="12" t="inlineStr">
        <is>
          <t xml:space="preserve">  3) WhatsApp — con oferta gancho (si sabés qué vende)</t>
        </is>
      </c>
    </row>
    <row r="9" ht="92" customHeight="1">
      <c r="B9" s="18" t="inlineStr">
        <is>
          <t>Hola [nombre]! Esta semana tenemos [producto] a $[precio] mayorista (con envío y garantía). Es de lo que más rota en ferretería. ¿Te preparo una cotización con cantidades para [nombre de la ferretería]?</t>
        </is>
      </c>
    </row>
    <row r="10">
      <c r="B10" s="12" t="inlineStr">
        <is>
          <t xml:space="preserve">  4) Email — presentación</t>
        </is>
      </c>
    </row>
    <row r="11">
      <c r="B11" s="13" t="inlineStr">
        <is>
          <t xml:space="preserve">  Asunto:  Uniproveedores — precios mayoristas para tu ferretería (envío y garantía)</t>
        </is>
      </c>
    </row>
    <row r="12" ht="92" customHeight="1">
      <c r="B12" s="18" t="inlineStr">
        <is>
          <t>Hola, ¿cómo estás?
Soy [tu nombre], de UNIPROVEEDORES, distribuidora mayorista de herramientas y artículos de ferretería. Trabajamos con ferreterías de Capital con precio mayorista, envío y garantía por Mercado Libre.
Me gustaría acercarte nuestra lista de precios y las ofertas de la semana, sin compromiso. ¿A quién le puedo enviar la información de compras?
Quedo a disposición.
[tu nombre] — Uniproveedores
WhatsApp: 011-3551-0715  ·  ventas@distribuidorauniverso.com
uniproveedores.com.ar  ·  Mercado Libre: /tienda/uniproveedores</t>
        </is>
      </c>
    </row>
    <row r="13">
      <c r="B13" s="12" t="inlineStr">
        <is>
          <t xml:space="preserve">  5) Guion visita / llamada (para conseguir el nombre del encargado)</t>
        </is>
      </c>
    </row>
    <row r="14" ht="92" customHeight="1">
      <c r="B14" s="18" t="inlineStr">
        <is>
          <t>Buenas, ¿el encargado de compras se encuentra? Soy de Uniproveedores, distribuidora mayorista de ferretería. Le quería dejar la lista de precios y ver qué productos le interesan para cotizarle con envío. ¿Con quién tengo el gusto? (→ anotar el nombre en la columna 'Encargado').</t>
        </is>
      </c>
    </row>
    <row r="15">
      <c r="B15" s="11" t="inlineStr"/>
    </row>
    <row r="16">
      <c r="B16" s="13" t="inlineStr">
        <is>
          <t xml:space="preserve">  Tips de cierre:</t>
        </is>
      </c>
    </row>
    <row r="17">
      <c r="B17" s="11" t="inlineStr">
        <is>
          <t xml:space="preserve">  • Guardá cada número que contactás como contacto → así ven tu foto/estado de empresa y da confianza.</t>
        </is>
      </c>
    </row>
    <row r="18">
      <c r="B18" s="11" t="inlineStr">
        <is>
          <t xml:space="preserve">  • Después del primer 'sí', mandá SIEMPRE una cotización concreta con cantidades, no una lista genérica.</t>
        </is>
      </c>
    </row>
    <row r="19">
      <c r="B19" s="11" t="inlineStr">
        <is>
          <t xml:space="preserve">  • Invitá a cada contacto a tu Canal de WhatsApp (ofertas) aunque todavía no te compre.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4" customWidth="1" min="1" max="1"/>
    <col width="26" customWidth="1" min="2" max="2"/>
    <col width="12" customWidth="1" min="3" max="3"/>
    <col width="60" customWidth="1" min="4" max="4"/>
  </cols>
  <sheetData>
    <row r="1" ht="24" customHeight="1">
      <c r="A1" s="10" t="inlineStr">
        <is>
          <t>UNIPROVEEDORES · Tablero de resultados (se actualiza al cargar la columna 'Estado')</t>
        </is>
      </c>
    </row>
    <row r="3">
      <c r="B3" s="19" t="inlineStr">
        <is>
          <t>Embudo de prospección</t>
        </is>
      </c>
    </row>
    <row r="4">
      <c r="B4" s="20" t="inlineStr">
        <is>
          <t>Sin contactar</t>
        </is>
      </c>
      <c r="C4" s="21">
        <f>COUNTIF('Ferreterías CABA'!$M$4:$M$81,"Sin contactar")</f>
        <v/>
      </c>
    </row>
    <row r="5">
      <c r="B5" s="20" t="inlineStr">
        <is>
          <t>Contactado</t>
        </is>
      </c>
      <c r="C5" s="21">
        <f>COUNTIF('Ferreterías CABA'!$M$4:$M$81,"Contactado")</f>
        <v/>
      </c>
    </row>
    <row r="6">
      <c r="B6" s="20" t="inlineStr">
        <is>
          <t>Interesado</t>
        </is>
      </c>
      <c r="C6" s="21">
        <f>COUNTIF('Ferreterías CABA'!$M$4:$M$81,"Interesado")</f>
        <v/>
      </c>
    </row>
    <row r="7">
      <c r="B7" s="20" t="inlineStr">
        <is>
          <t>Cotización enviada</t>
        </is>
      </c>
      <c r="C7" s="21">
        <f>COUNTIF('Ferreterías CABA'!$M$4:$M$81,"Cotización enviada")</f>
        <v/>
      </c>
    </row>
    <row r="8">
      <c r="B8" s="20" t="inlineStr">
        <is>
          <t>Cliente</t>
        </is>
      </c>
      <c r="C8" s="21">
        <f>COUNTIF('Ferreterías CABA'!$M$4:$M$81,"Cliente")</f>
        <v/>
      </c>
    </row>
    <row r="9">
      <c r="B9" s="20" t="inlineStr">
        <is>
          <t>Descartado</t>
        </is>
      </c>
      <c r="C9" s="21">
        <f>COUNTIF('Ferreterías CABA'!$M$4:$M$81,"Descartado")</f>
        <v/>
      </c>
    </row>
    <row r="10">
      <c r="B10" s="22" t="inlineStr">
        <is>
          <t>TOTAL en la lista</t>
        </is>
      </c>
      <c r="C10" s="23">
        <f>COUNTA('Ferreterías CABA'!$M$4:$M$81)</f>
        <v/>
      </c>
    </row>
    <row r="12">
      <c r="B12" s="24" t="inlineStr">
        <is>
          <t>Tasa de cierre (Cliente / Contactadas+)</t>
        </is>
      </c>
      <c r="C12" s="25">
        <f>IFERROR(COUNTIF('Ferreterías CABA'!$M$4:$M$81,"Cliente")/(COUNTA('Ferreterías CABA'!$M$4:$M$81)-COUNTIF('Ferreterías CABA'!$M$4:$M$81,"Sin contactar")-COUNTIF('Ferreterías CABA'!$M$4:$M$81,"")),0)</f>
        <v/>
      </c>
    </row>
    <row r="14">
      <c r="B14" s="19" t="inlineStr">
        <is>
          <t>Por prioridad</t>
        </is>
      </c>
    </row>
    <row r="15">
      <c r="B15" s="20" t="inlineStr">
        <is>
          <t>Alta</t>
        </is>
      </c>
      <c r="C15" s="26">
        <f>COUNTIF('Ferreterías CABA'!$N$4:$N$81,"Alta")</f>
        <v/>
      </c>
    </row>
    <row r="16">
      <c r="B16" s="20" t="inlineStr">
        <is>
          <t>Media</t>
        </is>
      </c>
      <c r="C16" s="26">
        <f>COUNTIF('Ferreterías CABA'!$N$4:$N$81,"Media")</f>
        <v/>
      </c>
    </row>
    <row r="17">
      <c r="B17" s="20" t="inlineStr">
        <is>
          <t>Baja</t>
        </is>
      </c>
      <c r="C17" s="26">
        <f>COUNTIF('Ferreterías CABA'!$N$4:$N$81,"Baja")</f>
        <v/>
      </c>
    </row>
    <row r="19">
      <c r="B19" s="19" t="inlineStr">
        <is>
          <t>Por anillo (cercanía al depósito)</t>
        </is>
      </c>
    </row>
    <row r="20">
      <c r="B20" s="20" t="inlineStr">
        <is>
          <t>Anillo 1</t>
        </is>
      </c>
      <c r="C20" s="26">
        <f>COUNTIF('Ferreterías CABA'!$B$4:$B$81,"Anillo 1")</f>
        <v/>
      </c>
    </row>
    <row r="21">
      <c r="B21" s="20" t="inlineStr">
        <is>
          <t>Anillo 2</t>
        </is>
      </c>
      <c r="C21" s="26">
        <f>COUNTIF('Ferreterías CABA'!$B$4:$B$81,"Anillo 2")</f>
        <v/>
      </c>
    </row>
    <row r="22">
      <c r="B22" s="20" t="inlineStr">
        <is>
          <t>Anillo 3</t>
        </is>
      </c>
      <c r="C22" s="26">
        <f>COUNTIF('Ferreterías CABA'!$B$4:$B$81,"Anillo 3")</f>
        <v/>
      </c>
    </row>
    <row r="25">
      <c r="B25" s="19" t="inlineStr">
        <is>
          <t>Bitácora semanal (anotá a mano)</t>
        </is>
      </c>
    </row>
    <row r="26">
      <c r="B26" s="3" t="inlineStr">
        <is>
          <t>Semana</t>
        </is>
      </c>
      <c r="C26" s="3" t="inlineStr">
        <is>
          <t>Contactadas</t>
        </is>
      </c>
      <c r="D26" s="3" t="inlineStr">
        <is>
          <t>Notas / aprendizajes</t>
        </is>
      </c>
    </row>
    <row r="27">
      <c r="B27" s="27" t="inlineStr">
        <is>
          <t>Semana 1</t>
        </is>
      </c>
      <c r="C27" s="27" t="n"/>
      <c r="D27" s="27" t="n"/>
    </row>
    <row r="28">
      <c r="B28" s="27" t="inlineStr">
        <is>
          <t>Semana 2</t>
        </is>
      </c>
      <c r="C28" s="27" t="n"/>
      <c r="D28" s="27" t="n"/>
    </row>
    <row r="29">
      <c r="B29" s="27" t="inlineStr">
        <is>
          <t>Semana 3</t>
        </is>
      </c>
      <c r="C29" s="27" t="n"/>
      <c r="D29" s="27" t="n"/>
    </row>
    <row r="30">
      <c r="B30" s="27" t="inlineStr">
        <is>
          <t>Semana 4</t>
        </is>
      </c>
      <c r="C30" s="27" t="n"/>
      <c r="D30" s="27" t="n"/>
    </row>
    <row r="31">
      <c r="B31" s="27" t="inlineStr">
        <is>
          <t>Semana 5</t>
        </is>
      </c>
      <c r="C31" s="27" t="n"/>
      <c r="D31" s="27" t="n"/>
    </row>
    <row r="32">
      <c r="B32" s="27" t="inlineStr">
        <is>
          <t>Semana 6</t>
        </is>
      </c>
      <c r="C32" s="27" t="n"/>
      <c r="D32" s="27" t="n"/>
    </row>
    <row r="33">
      <c r="B33" s="27" t="inlineStr">
        <is>
          <t>Semana 7</t>
        </is>
      </c>
      <c r="C33" s="27" t="n"/>
      <c r="D33" s="27" t="n"/>
    </row>
    <row r="34">
      <c r="B34" s="27" t="inlineStr">
        <is>
          <t>Semana 8</t>
        </is>
      </c>
      <c r="C34" s="27" t="n"/>
      <c r="D34" s="27" t="n"/>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2026-07-11T23:12:39Z</dcterms:created>
  <dcterms:modified xsi:type="dcterms:W3CDTF">2026-07-11T23:12:39Z</dcterms:modified>
</cp:coreProperties>
</file>